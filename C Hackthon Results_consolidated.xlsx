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Muru-Visteon\2026\Language Training\C Hackathon\"/>
    </mc:Choice>
  </mc:AlternateContent>
  <xr:revisionPtr revIDLastSave="0" documentId="13_ncr:1_{41870BD3-AA52-406F-A187-E0FA455686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 Hackathon Overall Performance" sheetId="2" r:id="rId1"/>
    <sheet name="Visteon Experts Evaluation" sheetId="1" r:id="rId2"/>
    <sheet name="Testcases evaluation" sheetId="3" r:id="rId3"/>
  </sheets>
  <externalReferences>
    <externalReference r:id="rId4"/>
  </externalReferences>
  <definedNames>
    <definedName name="_xlnm._FilterDatabase" localSheetId="0" hidden="1">'C Hackathon Overall Performance'!$A$1:$J$18</definedName>
    <definedName name="_xlnm._FilterDatabase" localSheetId="2" hidden="1">'Testcases evaluation'!$A$1:$E$18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7" i="2"/>
  <c r="E17" i="2" s="1"/>
  <c r="F17" i="2" s="1"/>
  <c r="G17" i="2" s="1"/>
  <c r="B16" i="2"/>
  <c r="B15" i="2"/>
  <c r="E15" i="2" s="1"/>
  <c r="F15" i="2" s="1"/>
  <c r="G15" i="2" s="1"/>
  <c r="B14" i="2"/>
  <c r="B13" i="2"/>
  <c r="B12" i="2"/>
  <c r="B11" i="2"/>
  <c r="E11" i="2" s="1"/>
  <c r="F11" i="2" s="1"/>
  <c r="G11" i="2" s="1"/>
  <c r="B10" i="2"/>
  <c r="H10" i="2" s="1"/>
  <c r="B9" i="2"/>
  <c r="B8" i="2"/>
  <c r="B7" i="2"/>
  <c r="E7" i="2" s="1"/>
  <c r="F7" i="2" s="1"/>
  <c r="G7" i="2" s="1"/>
  <c r="B6" i="2"/>
  <c r="B5" i="2"/>
  <c r="E5" i="2" s="1"/>
  <c r="F5" i="2" s="1"/>
  <c r="G5" i="2" s="1"/>
  <c r="B4" i="2"/>
  <c r="B3" i="2"/>
  <c r="E3" i="2" s="1"/>
  <c r="F3" i="2" s="1"/>
  <c r="G3" i="2" s="1"/>
  <c r="B2" i="2"/>
  <c r="I119" i="1"/>
  <c r="I112" i="1"/>
  <c r="I105" i="1"/>
  <c r="I98" i="1"/>
  <c r="I91" i="1"/>
  <c r="I84" i="1"/>
  <c r="I77" i="1"/>
  <c r="I70" i="1"/>
  <c r="I63" i="1"/>
  <c r="I56" i="1"/>
  <c r="I49" i="1"/>
  <c r="I42" i="1"/>
  <c r="I35" i="1"/>
  <c r="I28" i="1"/>
  <c r="I21" i="1"/>
  <c r="I14" i="1"/>
  <c r="I7" i="1"/>
  <c r="E14" i="2" l="1"/>
  <c r="F14" i="2" s="1"/>
  <c r="G14" i="2" s="1"/>
  <c r="I14" i="2" s="1"/>
  <c r="E13" i="2"/>
  <c r="F13" i="2" s="1"/>
  <c r="E12" i="2"/>
  <c r="F12" i="2" s="1"/>
  <c r="I5" i="2"/>
  <c r="E10" i="2"/>
  <c r="F10" i="2" s="1"/>
  <c r="E9" i="2"/>
  <c r="F9" i="2" s="1"/>
  <c r="I17" i="2"/>
  <c r="E6" i="2"/>
  <c r="F6" i="2" s="1"/>
  <c r="E18" i="2"/>
  <c r="F18" i="2" s="1"/>
  <c r="E16" i="2"/>
  <c r="F16" i="2" s="1"/>
  <c r="E2" i="2"/>
  <c r="F2" i="2" s="1"/>
  <c r="G2" i="2" s="1"/>
  <c r="I2" i="2" s="1"/>
  <c r="E8" i="2"/>
  <c r="F8" i="2" s="1"/>
  <c r="E4" i="2"/>
  <c r="F4" i="2" s="1"/>
  <c r="I7" i="2"/>
  <c r="I11" i="2"/>
  <c r="I3" i="2"/>
  <c r="I15" i="2"/>
  <c r="G16" i="2" l="1"/>
  <c r="I16" i="2" s="1"/>
  <c r="G18" i="2"/>
  <c r="I18" i="2" s="1"/>
  <c r="G6" i="2"/>
  <c r="I6" i="2" s="1"/>
  <c r="G9" i="2"/>
  <c r="I9" i="2" s="1"/>
  <c r="G13" i="2"/>
  <c r="I13" i="2" s="1"/>
  <c r="G10" i="2"/>
  <c r="I10" i="2" s="1"/>
  <c r="G8" i="2"/>
  <c r="I8" i="2" s="1"/>
  <c r="G4" i="2"/>
  <c r="I4" i="2" s="1"/>
  <c r="G12" i="2"/>
  <c r="I12" i="2" s="1"/>
</calcChain>
</file>

<file path=xl/sharedStrings.xml><?xml version="1.0" encoding="utf-8"?>
<sst xmlns="http://schemas.openxmlformats.org/spreadsheetml/2006/main" count="792" uniqueCount="200">
  <si>
    <t>Hackathon GroupId</t>
  </si>
  <si>
    <t>Location</t>
  </si>
  <si>
    <t>RISER/Intern Name</t>
  </si>
  <si>
    <t>S.No.</t>
  </si>
  <si>
    <t>Evalaution Parameter</t>
  </si>
  <si>
    <t>Poor(Points:2)</t>
  </si>
  <si>
    <t>Needs Improvement (Points:4)</t>
  </si>
  <si>
    <t>Satisfactory(Points:6)</t>
  </si>
  <si>
    <t>Exceptional (Points:8)</t>
  </si>
  <si>
    <t>Feedback on Individual Team members</t>
  </si>
  <si>
    <t>Overall Feedback</t>
  </si>
  <si>
    <t>GroupC1</t>
  </si>
  <si>
    <t>Chennai</t>
  </si>
  <si>
    <t>Kumar, Vivek (V.)</t>
  </si>
  <si>
    <t xml:space="preserve"> Technical Understanding</t>
  </si>
  <si>
    <t>presentation and understanding of feature</t>
  </si>
  <si>
    <t>eager to explain. understands the concepts well. can focus on presenation and documentation</t>
  </si>
  <si>
    <t> </t>
  </si>
  <si>
    <t>Alekya, G Alekya (G.)</t>
  </si>
  <si>
    <t>Teamwork / Communication</t>
  </si>
  <si>
    <t>Baravkar, Aniket (A.A.)</t>
  </si>
  <si>
    <t>Testing ability</t>
  </si>
  <si>
    <t>Babu, Bhavna (B.)</t>
  </si>
  <si>
    <t>Optimization Strategies</t>
  </si>
  <si>
    <t>Good Communication and presentation and understanding of feature</t>
  </si>
  <si>
    <t>Future Enhancements</t>
  </si>
  <si>
    <t>TOTAL SCORE</t>
  </si>
  <si>
    <t>GroupC2</t>
  </si>
  <si>
    <t>Zubair, Mohammed (M.)</t>
  </si>
  <si>
    <t>Good Presentation and explanation of workflow</t>
  </si>
  <si>
    <t>Good presentation and technical understanding. strong in concepts</t>
  </si>
  <si>
    <t>Ganesh, Pavithra (P.)</t>
  </si>
  <si>
    <t>Tipathi, Tejas (T.)</t>
  </si>
  <si>
    <t>Pachaiyappan, Sowmiya (S.)</t>
  </si>
  <si>
    <t>GroupC3</t>
  </si>
  <si>
    <t>Ayswar, GSS (G.)</t>
  </si>
  <si>
    <t>good technical understanding, presentaiton could be better</t>
  </si>
  <si>
    <t>Good in understanding of concepts. can improve presentation and documentation</t>
  </si>
  <si>
    <t>Devi, Dharshini S (D.)</t>
  </si>
  <si>
    <t>Narayanan, Vignesh (V.)</t>
  </si>
  <si>
    <t>Mariyan, Bavith (B.)</t>
  </si>
  <si>
    <t>GroupC4</t>
  </si>
  <si>
    <t>Suresh, Chidambaram (C.)</t>
  </si>
  <si>
    <t>good in understanding and communicaiton</t>
  </si>
  <si>
    <t>Senthilkumar, Sangavi (S.)</t>
  </si>
  <si>
    <t>Subburaj, Vijay (V.A.)</t>
  </si>
  <si>
    <t>Esther, Sherina (S.)</t>
  </si>
  <si>
    <t>good technical understanding and presentaiton.</t>
  </si>
  <si>
    <t>GroupC5</t>
  </si>
  <si>
    <t>Nawin, Gnana (G.)</t>
  </si>
  <si>
    <t>Good technical understanding and rpesentation.</t>
  </si>
  <si>
    <t>Good presentation and technical understanding. strong in concepts and use of Gen AI tool</t>
  </si>
  <si>
    <t>Satpathy, Pritam (P.)</t>
  </si>
  <si>
    <t>good technical understanding and programming</t>
  </si>
  <si>
    <t>Geetha Ragunath, Aakash (A.)</t>
  </si>
  <si>
    <t>Velumani, Mathimalar (M.)</t>
  </si>
  <si>
    <t>GroupC6</t>
  </si>
  <si>
    <t>Mennakshi Sundaram, Prathik (P.)</t>
  </si>
  <si>
    <t>Good presentation, Missing team collaboration, HTML report was good for test execution</t>
  </si>
  <si>
    <t>Missing team collaboration, HTML report was good</t>
  </si>
  <si>
    <t>Gopal, Sai (S.A.)</t>
  </si>
  <si>
    <t>Subramaniam, Hemanth (H.)</t>
  </si>
  <si>
    <t>Asokan, Swasthika (S.)</t>
  </si>
  <si>
    <t>GroupC7</t>
  </si>
  <si>
    <t>Vishwa, Swaroop (S.)</t>
  </si>
  <si>
    <t xml:space="preserve">good in applicaiton of the knowledge gained during training session. </t>
  </si>
  <si>
    <t>Sam Christadoss, Catherine (C.C.)</t>
  </si>
  <si>
    <t>Manivannan, Hemalatha (H.)</t>
  </si>
  <si>
    <t>Ezhilan, Valaroli (V.)</t>
  </si>
  <si>
    <t>GroupC8</t>
  </si>
  <si>
    <t>Saravanababu, Aswin (A.R.)</t>
  </si>
  <si>
    <t>Good presentation, Coding - Clear and Readable</t>
  </si>
  <si>
    <t xml:space="preserve">Good team collaboartion </t>
  </si>
  <si>
    <t>Balu, Akhil (A.A.)</t>
  </si>
  <si>
    <t>Mohideen Abbas Marakayar, Mohamed (M.H.)</t>
  </si>
  <si>
    <t>GroupC9</t>
  </si>
  <si>
    <t>Bangalore</t>
  </si>
  <si>
    <t>Chandel, Anish (A.S.)</t>
  </si>
  <si>
    <t>Documentation - 10/10 - With Great Representation.</t>
  </si>
  <si>
    <t>Great Team Dynamics.</t>
  </si>
  <si>
    <t>Nair, Tannishtha (T.)</t>
  </si>
  <si>
    <t>Good Automated Testing with Edge Cases.</t>
  </si>
  <si>
    <t>Reddy, Harshad (H.)</t>
  </si>
  <si>
    <t>Coding - Good Structure.</t>
  </si>
  <si>
    <t>Raman, Ramya (R.)</t>
  </si>
  <si>
    <t>Santhoshkumar, Mohan (M.R.)</t>
  </si>
  <si>
    <t>Architecture Presentation - Good.</t>
  </si>
  <si>
    <t>GroupC10</t>
  </si>
  <si>
    <t>Praneet, Priyanshu (P.)</t>
  </si>
  <si>
    <t>Good Interaction</t>
  </si>
  <si>
    <t>Good UX.</t>
  </si>
  <si>
    <t>Ayan, Mohammed (M.)</t>
  </si>
  <si>
    <t>Good UI &amp; UX - 10/10</t>
  </si>
  <si>
    <t>Krishak, Sarthak (S.)</t>
  </si>
  <si>
    <t>Good Presentation, but tried to overpower other team-members while talking.</t>
  </si>
  <si>
    <t>Vijay Anand, Nischal (N.)</t>
  </si>
  <si>
    <t>State Machine - Explanation - Good.</t>
  </si>
  <si>
    <t>Singh, Payel (P.)</t>
  </si>
  <si>
    <t>Good UI &amp; UX - 10/10 - Improvement</t>
  </si>
  <si>
    <t>GroupC11</t>
  </si>
  <si>
    <t>Kolkata</t>
  </si>
  <si>
    <t>Singh, Jitendra (J.)</t>
  </si>
  <si>
    <t xml:space="preserve">leading  the effort for designing </t>
  </si>
  <si>
    <t xml:space="preserve">Very good team colaboration ,  very good porblem undewrstanding,Software design , code optimisation   and  testing ability  to improve SW quality </t>
  </si>
  <si>
    <t>Lahiri, Sneha (S.)</t>
  </si>
  <si>
    <t xml:space="preserve">was proactive  lead the effort for  testing , coding and optimisation effort </t>
  </si>
  <si>
    <t>Chattopadhyay, Snigdhendu (S.)</t>
  </si>
  <si>
    <t xml:space="preserve">was proactive to  lead   the effort for designing ,testing , coding and optimisation effort </t>
  </si>
  <si>
    <t>Parween, Tamanna (T.)</t>
  </si>
  <si>
    <t xml:space="preserve">was reposible to good design note preparation  and preparing console log file formating </t>
  </si>
  <si>
    <t>Choudhary, Aaditya (A.)</t>
  </si>
  <si>
    <t>leading the effort for implementing  ECU control lib</t>
  </si>
  <si>
    <t>GroupC12</t>
  </si>
  <si>
    <t>Maity, Pradip (P.)</t>
  </si>
  <si>
    <t xml:space="preserve"> leading the overall effort for  testing , coding and optimisation ,  good understanding  of problem ,  excellent team player </t>
  </si>
  <si>
    <t>Karmakar, Sirsha (S.)</t>
  </si>
  <si>
    <t xml:space="preserve">was proactive to  lead the effort for  coding and optimisation for several  modules </t>
  </si>
  <si>
    <t>Verma, Roushan (R.)</t>
  </si>
  <si>
    <t>was proactive to  lead the effort for  coding and optimisation for several  modules , excellent team player</t>
  </si>
  <si>
    <t>Basu, Sayar (S.)</t>
  </si>
  <si>
    <t>proactive to  lead the effort for  coding and optimisation  , design note preparation ,excellent team player</t>
  </si>
  <si>
    <t>Nandi, Abhijit (A.)</t>
  </si>
  <si>
    <t>was proactive to  lead the effort for  coding and optimisation for several  modules</t>
  </si>
  <si>
    <t>GroupC13</t>
  </si>
  <si>
    <t>Bajpayee, Ashutosh (A.)</t>
  </si>
  <si>
    <t xml:space="preserve">was proactive  to lead the effort for  testing , coding and optimisation effort , very good team player </t>
  </si>
  <si>
    <t>Very good team colaboration , very good porblem undewrstanding  Software design , code optimisation   and  testing ability  to improve SW quality ,</t>
  </si>
  <si>
    <t>Chatterjee, Smriti (S.)</t>
  </si>
  <si>
    <t xml:space="preserve">was proactive to lead the effort for  testing , coding and optimisation effort ,very good team player </t>
  </si>
  <si>
    <t>Bhatt, Piyush (P.)</t>
  </si>
  <si>
    <t xml:space="preserve">was proactive to lead the effort for  testing , coding and optimisation effort </t>
  </si>
  <si>
    <t>Kumari, Ragini (R.)</t>
  </si>
  <si>
    <t>GroupC14</t>
  </si>
  <si>
    <t>Dey, Gobinda (G.)</t>
  </si>
  <si>
    <t xml:space="preserve"> leading the effort for  testing , coding and optimisation effort ,  good undersatdning of problem ,  excellent team player </t>
  </si>
  <si>
    <t xml:space="preserve">Excellent   team colaboration ,  very good porblem undewrstanding, Software design , code optimisation   and  testing ability  to improve SW quality </t>
  </si>
  <si>
    <t>Das, Suchandra (S.)</t>
  </si>
  <si>
    <t>leading the effort for implementing  ECU control lib, design note preperation</t>
  </si>
  <si>
    <t>Aditya, Pushkar (P.)</t>
  </si>
  <si>
    <t>leading the effort for implementing  ECU control lib,  software architecting</t>
  </si>
  <si>
    <t>Prasad, Om (O.)</t>
  </si>
  <si>
    <t>GroupC15</t>
  </si>
  <si>
    <t>Coimbatore</t>
  </si>
  <si>
    <t>Rangaraj, Thaareesh (T.)</t>
  </si>
  <si>
    <t xml:space="preserve"> understanding of problem statement and solution derived is good , test ability could be better and communication and presentation skill can be improved.</t>
  </si>
  <si>
    <t>Overall good team work , testing could be improved and presented state diagram for the implementation is appreciatable, including the min and max threshold in test code/utility would be more user friendly.</t>
  </si>
  <si>
    <t>Ravi, Tharunika (T.)</t>
  </si>
  <si>
    <t xml:space="preserve"> understanding of problem statement and solution derived is good , test ability could be better.</t>
  </si>
  <si>
    <t>Vaithiyalingam, Rohini (R.)</t>
  </si>
  <si>
    <t>Gani, Abdur Rahim (A.M.)</t>
  </si>
  <si>
    <t>Arulanandhan, Sreenidhi (S.)</t>
  </si>
  <si>
    <t>GroupC16</t>
  </si>
  <si>
    <t>Senthilkumar, Nilashri (N.)</t>
  </si>
  <si>
    <t xml:space="preserve"> understanding of problem statement and solution derived is good , critical thinking on enhancements and optimization Strategies can be improved.</t>
  </si>
  <si>
    <t>Overall good team work , still more clarity can be provided on test input in data sheet or code would make even more user friendly.</t>
  </si>
  <si>
    <t>Jayaprakash, Midhru (M.J.)</t>
  </si>
  <si>
    <t>Karuppusamy, Kavin (K.R.)</t>
  </si>
  <si>
    <t>Selvam, Srinidhi (S.)</t>
  </si>
  <si>
    <t>Vinoth Kumar, Prarthna (P.)</t>
  </si>
  <si>
    <t>GroupC17</t>
  </si>
  <si>
    <t>Trivandrum</t>
  </si>
  <si>
    <t>Pratap, Arjun (A.)</t>
  </si>
  <si>
    <t>Team player, good understanding of the topic.</t>
  </si>
  <si>
    <t>The team has a solid grasp of the objective and effectively correlates it with real-world scenarios, identifying relevant drawbacks. The team need to improve focusing more on future enhancements.</t>
  </si>
  <si>
    <t>Krishnan, Sanath (S.)</t>
  </si>
  <si>
    <t>Fair understading of the topic</t>
  </si>
  <si>
    <t>Sharma, Raj (R.)</t>
  </si>
  <si>
    <t xml:space="preserve"> </t>
  </si>
  <si>
    <t>Sr. No.</t>
  </si>
  <si>
    <t>Group Name</t>
  </si>
  <si>
    <t xml:space="preserve">Location </t>
  </si>
  <si>
    <t>Total Tests</t>
  </si>
  <si>
    <t>Passed Tests</t>
  </si>
  <si>
    <t>Percentage</t>
  </si>
  <si>
    <t>Visteon Expert Score (out of 40)</t>
  </si>
  <si>
    <t>Total Score (100)</t>
  </si>
  <si>
    <t>Remarks</t>
  </si>
  <si>
    <t>Rank</t>
  </si>
  <si>
    <t>Score %</t>
  </si>
  <si>
    <t>Checks Passed</t>
  </si>
  <si>
    <t>Checks Total</t>
  </si>
  <si>
    <t>🥇 1</t>
  </si>
  <si>
    <t>100%</t>
  </si>
  <si>
    <t>🥈 2</t>
  </si>
  <si>
    <t>98%</t>
  </si>
  <si>
    <t>🥉 3</t>
  </si>
  <si>
    <t>96%</t>
  </si>
  <si>
    <t>94%</t>
  </si>
  <si>
    <t>91%</t>
  </si>
  <si>
    <t>90%</t>
  </si>
  <si>
    <t>88%</t>
  </si>
  <si>
    <t>86%</t>
  </si>
  <si>
    <t>82%</t>
  </si>
  <si>
    <t>80%</t>
  </si>
  <si>
    <t>73%</t>
  </si>
  <si>
    <t>Files in ZIP</t>
  </si>
  <si>
    <t>Status</t>
  </si>
  <si>
    <t>✅ Pass</t>
  </si>
  <si>
    <t>Best Team</t>
  </si>
  <si>
    <t>Test Cases Evaluation Out of 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</si>
</sst>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Times New Roman"/>
      <family val="1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6100"/>
      <name val="Calibri"/>
      <family val="2"/>
    </font>
    <font>
      <b/>
      <sz val="12"/>
      <color rgb="FF006100"/>
      <name val="Calibri"/>
      <family val="2"/>
    </font>
    <font>
      <b/>
      <sz val="12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7" borderId="0" applyNumberFormat="0" applyBorder="0" applyAlignment="0" applyProtection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2" fillId="0" borderId="13" xfId="0" applyFont="1" applyBorder="1"/>
    <xf numFmtId="0" fontId="1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7" borderId="14" xfId="1" applyFont="1" applyBorder="1" applyAlignment="1">
      <alignment horizontal="left"/>
    </xf>
    <xf numFmtId="0" fontId="8" fillId="7" borderId="14" xfId="1" applyFont="1" applyBorder="1" applyAlignment="1">
      <alignment horizontal="center"/>
    </xf>
    <xf numFmtId="0" fontId="8" fillId="8" borderId="14" xfId="1" applyFont="1" applyFill="1" applyBorder="1" applyAlignment="1">
      <alignment horizontal="center"/>
    </xf>
    <xf numFmtId="0" fontId="8" fillId="9" borderId="14" xfId="1" applyFont="1" applyFill="1" applyBorder="1" applyAlignment="1">
      <alignment horizontal="center"/>
    </xf>
    <xf numFmtId="0" fontId="9" fillId="10" borderId="14" xfId="1" applyFont="1" applyFill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4" xfId="0" applyBorder="1"/>
    <xf numFmtId="2" fontId="0" fillId="0" borderId="14" xfId="0" applyNumberFormat="1" applyBorder="1"/>
    <xf numFmtId="2" fontId="0" fillId="8" borderId="14" xfId="0" applyNumberFormat="1" applyFill="1" applyBorder="1"/>
    <xf numFmtId="0" fontId="7" fillId="0" borderId="14" xfId="0" applyFont="1" applyBorder="1"/>
    <xf numFmtId="0" fontId="10" fillId="11" borderId="14" xfId="0" applyFont="1" applyFill="1" applyBorder="1"/>
    <xf numFmtId="0" fontId="0" fillId="0" borderId="14" xfId="0" applyBorder="1" applyAlignment="1">
      <alignment horizontal="center"/>
    </xf>
    <xf numFmtId="9" fontId="0" fillId="0" borderId="14" xfId="0" applyNumberFormat="1" applyBorder="1" applyAlignment="1">
      <alignment horizontal="center"/>
    </xf>
    <xf numFmtId="0" fontId="0" fillId="12" borderId="14" xfId="0" applyFill="1" applyBorder="1"/>
    <xf numFmtId="2" fontId="0" fillId="12" borderId="14" xfId="0" applyNumberFormat="1" applyFill="1" applyBorder="1"/>
    <xf numFmtId="0" fontId="7" fillId="12" borderId="14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uru-Visteon\2025\LanguageTraining\C%20Hackathon\CHackathon%20Evaluations_16_04_2025.xlsx" TargetMode="External"/><Relationship Id="rId1" Type="http://schemas.openxmlformats.org/officeDocument/2006/relationships/externalLinkPath" Target="/Muru-Visteon/2025/LanguageTraining/C%20Hackathon/CHackathon%20Evaluations_16_04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cakthon Overall Performance"/>
      <sheetName val="TestCasesEvaluation"/>
      <sheetName val="Visteon Assessors Evaluation"/>
      <sheetName val="BLR"/>
      <sheetName val="CHN"/>
      <sheetName val="CBE"/>
      <sheetName val="Goa"/>
      <sheetName val="kolkata"/>
      <sheetName val="Pune"/>
      <sheetName val="TVM"/>
    </sheetNames>
    <sheetDataSet>
      <sheetData sheetId="0" refreshError="1"/>
      <sheetData sheetId="1" refreshError="1"/>
      <sheetData sheetId="2">
        <row r="2">
          <cell r="A2" t="str">
            <v>GroupC1</v>
          </cell>
          <cell r="B2" t="str">
            <v>Bangalore</v>
          </cell>
          <cell r="C2">
            <v>28</v>
          </cell>
        </row>
        <row r="3">
          <cell r="A3" t="str">
            <v>GroupC2</v>
          </cell>
          <cell r="B3" t="str">
            <v>Bangalore</v>
          </cell>
          <cell r="C3">
            <v>30</v>
          </cell>
        </row>
        <row r="4">
          <cell r="A4" t="str">
            <v>GroupC3</v>
          </cell>
          <cell r="B4" t="str">
            <v>Bangalore</v>
          </cell>
          <cell r="C4">
            <v>28</v>
          </cell>
        </row>
        <row r="5">
          <cell r="A5" t="str">
            <v>GroupC4</v>
          </cell>
          <cell r="B5" t="str">
            <v>Bangalore</v>
          </cell>
          <cell r="C5">
            <v>30</v>
          </cell>
        </row>
        <row r="6">
          <cell r="A6" t="str">
            <v>GroupC5</v>
          </cell>
          <cell r="B6" t="str">
            <v>Bangalore</v>
          </cell>
          <cell r="C6">
            <v>28</v>
          </cell>
        </row>
        <row r="7">
          <cell r="A7" t="str">
            <v>GroupC6</v>
          </cell>
          <cell r="B7" t="str">
            <v>Bangalore</v>
          </cell>
          <cell r="C7">
            <v>26</v>
          </cell>
        </row>
        <row r="8">
          <cell r="A8" t="str">
            <v>GroupC7</v>
          </cell>
          <cell r="B8" t="str">
            <v>Bangalore</v>
          </cell>
          <cell r="C8">
            <v>36</v>
          </cell>
        </row>
        <row r="9">
          <cell r="A9" t="str">
            <v>GroupC8</v>
          </cell>
          <cell r="B9" t="str">
            <v>Bangalore</v>
          </cell>
          <cell r="C9">
            <v>34</v>
          </cell>
        </row>
        <row r="10">
          <cell r="A10" t="str">
            <v>GroupC9</v>
          </cell>
          <cell r="B10" t="str">
            <v>Chennai</v>
          </cell>
          <cell r="C10">
            <v>34</v>
          </cell>
        </row>
        <row r="11">
          <cell r="A11" t="str">
            <v>GroupC10</v>
          </cell>
          <cell r="B11" t="str">
            <v>Chennai</v>
          </cell>
          <cell r="C11">
            <v>36</v>
          </cell>
        </row>
        <row r="12">
          <cell r="A12" t="str">
            <v>GroupC11</v>
          </cell>
          <cell r="B12" t="str">
            <v>Chennai</v>
          </cell>
          <cell r="C12">
            <v>26</v>
          </cell>
        </row>
        <row r="13">
          <cell r="A13" t="str">
            <v>GroupC12</v>
          </cell>
          <cell r="B13" t="str">
            <v>Chennai</v>
          </cell>
          <cell r="C13">
            <v>26</v>
          </cell>
        </row>
        <row r="14">
          <cell r="A14" t="str">
            <v>GroupC13</v>
          </cell>
          <cell r="B14" t="str">
            <v>Chennai</v>
          </cell>
          <cell r="C14">
            <v>30</v>
          </cell>
        </row>
        <row r="15">
          <cell r="A15" t="str">
            <v>GroupC14</v>
          </cell>
          <cell r="B15" t="str">
            <v>Chennai</v>
          </cell>
          <cell r="C15">
            <v>30</v>
          </cell>
        </row>
        <row r="16">
          <cell r="A16" t="str">
            <v>GroupC15</v>
          </cell>
          <cell r="B16" t="str">
            <v>Chennai</v>
          </cell>
          <cell r="C16">
            <v>32</v>
          </cell>
        </row>
        <row r="17">
          <cell r="A17" t="str">
            <v>GroupC16</v>
          </cell>
          <cell r="B17" t="str">
            <v>Chennai</v>
          </cell>
          <cell r="C17">
            <v>30</v>
          </cell>
        </row>
        <row r="18">
          <cell r="A18" t="str">
            <v>GroupC17</v>
          </cell>
          <cell r="B18" t="str">
            <v>Chennai</v>
          </cell>
          <cell r="C18">
            <v>32</v>
          </cell>
        </row>
        <row r="19">
          <cell r="A19" t="str">
            <v>GroupC18</v>
          </cell>
          <cell r="B19" t="str">
            <v>Chennai</v>
          </cell>
          <cell r="C19">
            <v>24</v>
          </cell>
        </row>
        <row r="20">
          <cell r="A20" t="str">
            <v>GroupC19</v>
          </cell>
          <cell r="B20" t="str">
            <v>Chennai</v>
          </cell>
          <cell r="C20">
            <v>28</v>
          </cell>
        </row>
        <row r="21">
          <cell r="A21" t="str">
            <v>GroupC20</v>
          </cell>
          <cell r="B21" t="str">
            <v>Chennai</v>
          </cell>
          <cell r="C21">
            <v>36</v>
          </cell>
        </row>
        <row r="22">
          <cell r="A22" t="str">
            <v>GroupC21</v>
          </cell>
          <cell r="B22" t="str">
            <v>Chennai</v>
          </cell>
          <cell r="C22">
            <v>34</v>
          </cell>
        </row>
        <row r="23">
          <cell r="A23" t="str">
            <v>GroupC22</v>
          </cell>
          <cell r="B23" t="str">
            <v>Chennai</v>
          </cell>
          <cell r="C23">
            <v>30</v>
          </cell>
        </row>
        <row r="24">
          <cell r="A24" t="str">
            <v>GroupC23</v>
          </cell>
          <cell r="B24" t="str">
            <v>Chennai</v>
          </cell>
          <cell r="C24">
            <v>26</v>
          </cell>
        </row>
        <row r="25">
          <cell r="A25" t="str">
            <v>GroupC24</v>
          </cell>
          <cell r="B25" t="str">
            <v>Chennai</v>
          </cell>
          <cell r="C25">
            <v>28</v>
          </cell>
        </row>
        <row r="26">
          <cell r="A26" t="str">
            <v>GroupC25</v>
          </cell>
          <cell r="B26" t="str">
            <v>Coimbatore</v>
          </cell>
          <cell r="C26">
            <v>30</v>
          </cell>
        </row>
        <row r="27">
          <cell r="A27" t="str">
            <v>GroupC26</v>
          </cell>
          <cell r="B27" t="str">
            <v>Coimbatore</v>
          </cell>
          <cell r="C27">
            <v>30</v>
          </cell>
        </row>
        <row r="28">
          <cell r="A28" t="str">
            <v>GroupC27</v>
          </cell>
          <cell r="B28" t="str">
            <v>Coimbatore</v>
          </cell>
          <cell r="C28">
            <v>32</v>
          </cell>
        </row>
        <row r="29">
          <cell r="A29" t="str">
            <v>GroupC28</v>
          </cell>
          <cell r="B29" t="str">
            <v>Coimbatore</v>
          </cell>
          <cell r="C29">
            <v>30</v>
          </cell>
        </row>
        <row r="30">
          <cell r="A30" t="str">
            <v>GroupC29</v>
          </cell>
          <cell r="B30" t="str">
            <v>Coimbatore</v>
          </cell>
          <cell r="C30">
            <v>28</v>
          </cell>
        </row>
        <row r="31">
          <cell r="A31" t="str">
            <v>GroupC30</v>
          </cell>
          <cell r="B31" t="str">
            <v>Coimbatore</v>
          </cell>
          <cell r="C31">
            <v>34</v>
          </cell>
        </row>
        <row r="32">
          <cell r="A32" t="str">
            <v>GroupC31</v>
          </cell>
          <cell r="B32" t="str">
            <v>Coimbatore</v>
          </cell>
          <cell r="C32">
            <v>26</v>
          </cell>
        </row>
        <row r="33">
          <cell r="A33" t="str">
            <v>GroupC32</v>
          </cell>
          <cell r="B33" t="str">
            <v>Coimbatore</v>
          </cell>
          <cell r="C33">
            <v>30</v>
          </cell>
        </row>
        <row r="34">
          <cell r="A34" t="str">
            <v>GroupC33</v>
          </cell>
          <cell r="B34" t="str">
            <v>Coimbatore</v>
          </cell>
          <cell r="C34">
            <v>26</v>
          </cell>
        </row>
        <row r="35">
          <cell r="A35" t="str">
            <v>GroupC34</v>
          </cell>
          <cell r="B35" t="str">
            <v>Coimbatore</v>
          </cell>
          <cell r="C35">
            <v>38</v>
          </cell>
        </row>
        <row r="36">
          <cell r="A36" t="str">
            <v>GroupC35</v>
          </cell>
          <cell r="B36" t="str">
            <v>Coimbatore</v>
          </cell>
          <cell r="C36">
            <v>30</v>
          </cell>
        </row>
        <row r="37">
          <cell r="A37" t="str">
            <v>GroupC36</v>
          </cell>
          <cell r="B37" t="str">
            <v>Coimbatore</v>
          </cell>
          <cell r="C37">
            <v>28</v>
          </cell>
        </row>
        <row r="38">
          <cell r="A38" t="str">
            <v>GroupC37</v>
          </cell>
          <cell r="B38" t="str">
            <v>Coimbatore</v>
          </cell>
          <cell r="C38">
            <v>26</v>
          </cell>
        </row>
        <row r="39">
          <cell r="A39" t="str">
            <v>GroupC38</v>
          </cell>
          <cell r="B39" t="str">
            <v>Coimbatore</v>
          </cell>
          <cell r="C39">
            <v>26</v>
          </cell>
        </row>
        <row r="40">
          <cell r="A40" t="str">
            <v>GroupC39</v>
          </cell>
          <cell r="B40" t="str">
            <v>Coimbatore</v>
          </cell>
          <cell r="C40">
            <v>28</v>
          </cell>
        </row>
        <row r="41">
          <cell r="A41" t="str">
            <v>GroupC40</v>
          </cell>
          <cell r="B41" t="str">
            <v>Coimbatore</v>
          </cell>
          <cell r="C41">
            <v>28</v>
          </cell>
        </row>
        <row r="42">
          <cell r="A42" t="str">
            <v>GroupC41</v>
          </cell>
          <cell r="B42" t="str">
            <v>Coimbatore</v>
          </cell>
          <cell r="C42">
            <v>30</v>
          </cell>
        </row>
        <row r="43">
          <cell r="A43" t="str">
            <v>GroupC42</v>
          </cell>
          <cell r="B43" t="str">
            <v>Coimbatore</v>
          </cell>
          <cell r="C43">
            <v>28</v>
          </cell>
        </row>
        <row r="44">
          <cell r="A44" t="str">
            <v>GroupC43</v>
          </cell>
          <cell r="B44" t="str">
            <v>Coimbatore</v>
          </cell>
          <cell r="C44">
            <v>28</v>
          </cell>
        </row>
        <row r="45">
          <cell r="A45" t="str">
            <v>GroupC44</v>
          </cell>
          <cell r="B45" t="str">
            <v>Goa</v>
          </cell>
          <cell r="C45">
            <v>26</v>
          </cell>
        </row>
        <row r="46">
          <cell r="A46" t="str">
            <v>GroupC45</v>
          </cell>
          <cell r="B46" t="str">
            <v>Goa</v>
          </cell>
          <cell r="C46">
            <v>26</v>
          </cell>
        </row>
        <row r="47">
          <cell r="A47" t="str">
            <v>GroupC46</v>
          </cell>
          <cell r="B47" t="str">
            <v>Goa</v>
          </cell>
          <cell r="C47">
            <v>27</v>
          </cell>
        </row>
        <row r="48">
          <cell r="A48" t="str">
            <v>GroupC47</v>
          </cell>
          <cell r="B48" t="str">
            <v>Goa</v>
          </cell>
          <cell r="C48">
            <v>18</v>
          </cell>
        </row>
        <row r="49">
          <cell r="A49" t="str">
            <v>GroupC48</v>
          </cell>
          <cell r="B49" t="str">
            <v>Goa</v>
          </cell>
          <cell r="C49">
            <v>22</v>
          </cell>
        </row>
        <row r="50">
          <cell r="A50" t="str">
            <v>GroupC49</v>
          </cell>
          <cell r="B50" t="str">
            <v>Goa</v>
          </cell>
          <cell r="C50">
            <v>26</v>
          </cell>
        </row>
        <row r="51">
          <cell r="A51" t="str">
            <v>GroupC50</v>
          </cell>
          <cell r="B51" t="str">
            <v>Goa</v>
          </cell>
          <cell r="C51">
            <v>24</v>
          </cell>
        </row>
        <row r="52">
          <cell r="A52" t="str">
            <v>GroupC51</v>
          </cell>
          <cell r="B52" t="str">
            <v>Goa</v>
          </cell>
          <cell r="C52">
            <v>30</v>
          </cell>
        </row>
        <row r="53">
          <cell r="A53" t="str">
            <v>GroupC52</v>
          </cell>
          <cell r="B53" t="str">
            <v>Kolkata</v>
          </cell>
          <cell r="C53">
            <v>36</v>
          </cell>
        </row>
        <row r="54">
          <cell r="A54" t="str">
            <v>GroupC53</v>
          </cell>
          <cell r="B54" t="str">
            <v>Kolkata</v>
          </cell>
          <cell r="C54">
            <v>34</v>
          </cell>
        </row>
        <row r="55">
          <cell r="A55" t="str">
            <v>GroupC54</v>
          </cell>
          <cell r="B55" t="str">
            <v>Kolkata</v>
          </cell>
          <cell r="C55">
            <v>38</v>
          </cell>
        </row>
        <row r="56">
          <cell r="A56" t="str">
            <v>GroupC55</v>
          </cell>
          <cell r="B56" t="str">
            <v>Kolkata</v>
          </cell>
          <cell r="C56">
            <v>34</v>
          </cell>
        </row>
        <row r="57">
          <cell r="A57" t="str">
            <v>GroupC56</v>
          </cell>
          <cell r="B57" t="str">
            <v>Kolkata</v>
          </cell>
          <cell r="C57">
            <v>36</v>
          </cell>
        </row>
        <row r="58">
          <cell r="A58" t="str">
            <v>GroupC57</v>
          </cell>
          <cell r="B58" t="str">
            <v>Kolkata</v>
          </cell>
          <cell r="C58">
            <v>40</v>
          </cell>
        </row>
        <row r="59">
          <cell r="A59" t="str">
            <v>GroupC58</v>
          </cell>
          <cell r="B59" t="str">
            <v>Kolkata</v>
          </cell>
          <cell r="C59">
            <v>36</v>
          </cell>
        </row>
        <row r="60">
          <cell r="A60" t="str">
            <v>GroupC59</v>
          </cell>
          <cell r="B60" t="str">
            <v>Kolkata</v>
          </cell>
          <cell r="C60">
            <v>40</v>
          </cell>
        </row>
        <row r="61">
          <cell r="A61" t="str">
            <v>GroupC60</v>
          </cell>
          <cell r="B61" t="str">
            <v>Kolkata</v>
          </cell>
          <cell r="C61">
            <v>32</v>
          </cell>
        </row>
        <row r="62">
          <cell r="A62" t="str">
            <v>GroupC61</v>
          </cell>
          <cell r="B62" t="str">
            <v>Pune</v>
          </cell>
          <cell r="C62">
            <v>36</v>
          </cell>
        </row>
        <row r="63">
          <cell r="A63" t="str">
            <v>GroupC62</v>
          </cell>
          <cell r="B63" t="str">
            <v>Pune</v>
          </cell>
          <cell r="C63">
            <v>32</v>
          </cell>
        </row>
        <row r="64">
          <cell r="A64" t="str">
            <v>GroupC63</v>
          </cell>
          <cell r="B64" t="str">
            <v>Pune</v>
          </cell>
          <cell r="C64">
            <v>32</v>
          </cell>
        </row>
        <row r="65">
          <cell r="A65" t="str">
            <v>GroupC64</v>
          </cell>
          <cell r="B65" t="str">
            <v>Pune</v>
          </cell>
          <cell r="C65">
            <v>36</v>
          </cell>
        </row>
        <row r="66">
          <cell r="A66" t="str">
            <v>GroupC65</v>
          </cell>
          <cell r="B66" t="str">
            <v>Pune</v>
          </cell>
          <cell r="C66">
            <v>34</v>
          </cell>
        </row>
        <row r="67">
          <cell r="A67" t="str">
            <v>GroupC66</v>
          </cell>
          <cell r="B67" t="str">
            <v>Pune</v>
          </cell>
          <cell r="C67">
            <v>32</v>
          </cell>
        </row>
        <row r="68">
          <cell r="A68" t="str">
            <v>GroupC67</v>
          </cell>
          <cell r="B68" t="str">
            <v>Pune</v>
          </cell>
          <cell r="C68">
            <v>36</v>
          </cell>
        </row>
        <row r="69">
          <cell r="A69" t="str">
            <v>GroupC68</v>
          </cell>
          <cell r="B69" t="str">
            <v>Pune</v>
          </cell>
          <cell r="C69">
            <v>34</v>
          </cell>
        </row>
        <row r="70">
          <cell r="A70" t="str">
            <v>GroupC69</v>
          </cell>
          <cell r="B70" t="str">
            <v>Pune</v>
          </cell>
          <cell r="C70">
            <v>34</v>
          </cell>
        </row>
        <row r="71">
          <cell r="A71" t="str">
            <v>GroupC70</v>
          </cell>
          <cell r="B71" t="str">
            <v>Pune</v>
          </cell>
          <cell r="C71">
            <v>30</v>
          </cell>
        </row>
        <row r="72">
          <cell r="A72" t="str">
            <v>GroupC71</v>
          </cell>
          <cell r="B72" t="str">
            <v>Pune</v>
          </cell>
          <cell r="C72">
            <v>34</v>
          </cell>
        </row>
        <row r="73">
          <cell r="A73" t="str">
            <v>GroupC72</v>
          </cell>
          <cell r="B73" t="str">
            <v>Pune</v>
          </cell>
          <cell r="C73">
            <v>30</v>
          </cell>
        </row>
        <row r="74">
          <cell r="A74" t="str">
            <v>GroupC73</v>
          </cell>
          <cell r="B74" t="str">
            <v>Pune</v>
          </cell>
          <cell r="C74">
            <v>34</v>
          </cell>
        </row>
        <row r="75">
          <cell r="A75" t="str">
            <v>GroupC74</v>
          </cell>
          <cell r="B75" t="str">
            <v>Trivandrum</v>
          </cell>
          <cell r="C75">
            <v>24</v>
          </cell>
        </row>
        <row r="76">
          <cell r="A76" t="str">
            <v>GroupC75</v>
          </cell>
          <cell r="B76" t="str">
            <v>Trivandrum</v>
          </cell>
          <cell r="C76">
            <v>24</v>
          </cell>
        </row>
        <row r="77">
          <cell r="A77" t="str">
            <v>GroupC76</v>
          </cell>
          <cell r="B77" t="str">
            <v>Trivandrum</v>
          </cell>
          <cell r="C77">
            <v>24</v>
          </cell>
        </row>
        <row r="78">
          <cell r="A78" t="str">
            <v>GroupC77</v>
          </cell>
          <cell r="B78" t="str">
            <v>Trivandrum</v>
          </cell>
          <cell r="C78">
            <v>24</v>
          </cell>
        </row>
        <row r="79">
          <cell r="A79" t="str">
            <v>GroupC78</v>
          </cell>
          <cell r="B79" t="str">
            <v>Trivandrum</v>
          </cell>
          <cell r="C79">
            <v>30</v>
          </cell>
        </row>
        <row r="80">
          <cell r="A80" t="str">
            <v>GroupC79</v>
          </cell>
          <cell r="B80" t="str">
            <v>Trivandrum</v>
          </cell>
          <cell r="C80">
            <v>30</v>
          </cell>
        </row>
        <row r="81">
          <cell r="A81" t="str">
            <v>GroupC80</v>
          </cell>
          <cell r="B81" t="str">
            <v>Trivandrum</v>
          </cell>
          <cell r="C81">
            <v>32</v>
          </cell>
        </row>
        <row r="82">
          <cell r="A82" t="str">
            <v>GroupC81</v>
          </cell>
          <cell r="B82" t="str">
            <v>Trivandrum</v>
          </cell>
          <cell r="C82">
            <v>38</v>
          </cell>
        </row>
        <row r="83">
          <cell r="A83" t="str">
            <v>GroupC82</v>
          </cell>
          <cell r="B83" t="str">
            <v>Trivandrum</v>
          </cell>
          <cell r="C83">
            <v>34</v>
          </cell>
        </row>
        <row r="84">
          <cell r="A84" t="str">
            <v>GroupC83</v>
          </cell>
          <cell r="B84" t="str">
            <v>Trivandrum</v>
          </cell>
          <cell r="C84">
            <v>36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CB57-16C6-4772-B52F-196BA005EE5C}">
  <dimension ref="A1:J18"/>
  <sheetViews>
    <sheetView tabSelected="1" workbookViewId="0">
      <selection activeCell="J23" sqref="J23"/>
    </sheetView>
  </sheetViews>
  <sheetFormatPr defaultRowHeight="14.5" x14ac:dyDescent="0.35"/>
  <cols>
    <col min="1" max="1" width="6.7265625" bestFit="1" customWidth="1"/>
    <col min="2" max="2" width="12.26953125" bestFit="1" customWidth="1"/>
    <col min="3" max="3" width="13.54296875" bestFit="1" customWidth="1"/>
    <col min="4" max="4" width="10.7265625" bestFit="1" customWidth="1"/>
    <col min="5" max="5" width="14.6328125" bestFit="1" customWidth="1"/>
    <col min="6" max="6" width="14.81640625" bestFit="1" customWidth="1"/>
    <col min="7" max="7" width="36" bestFit="1" customWidth="1"/>
    <col min="8" max="8" width="34.08984375" bestFit="1" customWidth="1"/>
    <col min="9" max="9" width="21.36328125" bestFit="1" customWidth="1"/>
    <col min="10" max="10" width="16.81640625" customWidth="1"/>
  </cols>
  <sheetData>
    <row r="1" spans="1:10" ht="15.5" x14ac:dyDescent="0.35">
      <c r="A1" s="34" t="s">
        <v>168</v>
      </c>
      <c r="B1" s="34" t="s">
        <v>169</v>
      </c>
      <c r="C1" s="35" t="s">
        <v>170</v>
      </c>
      <c r="D1" s="35" t="s">
        <v>171</v>
      </c>
      <c r="E1" s="35" t="s">
        <v>172</v>
      </c>
      <c r="F1" s="35" t="s">
        <v>173</v>
      </c>
      <c r="G1" s="36" t="s">
        <v>199</v>
      </c>
      <c r="H1" s="37" t="s">
        <v>174</v>
      </c>
      <c r="I1" s="38" t="s">
        <v>175</v>
      </c>
      <c r="J1" s="38" t="s">
        <v>176</v>
      </c>
    </row>
    <row r="2" spans="1:10" x14ac:dyDescent="0.35">
      <c r="A2" s="39">
        <v>1</v>
      </c>
      <c r="B2" s="47" t="str">
        <f>_xlfn.CONCAT("GroupC",A2)</f>
        <v>GroupC1</v>
      </c>
      <c r="C2" s="47" t="s">
        <v>12</v>
      </c>
      <c r="D2" s="47">
        <v>42</v>
      </c>
      <c r="E2" s="47">
        <f>VLOOKUP(B2,'Testcases evaluation'!$B$2:$E$18,3,FALSE)</f>
        <v>42</v>
      </c>
      <c r="F2" s="48">
        <f>E2/D2 * 100</f>
        <v>100</v>
      </c>
      <c r="G2" s="48">
        <f>ROUND(F2*0.6,0)</f>
        <v>60</v>
      </c>
      <c r="H2" s="47">
        <v>34</v>
      </c>
      <c r="I2" s="48">
        <f>SUM(G2,H2)</f>
        <v>94</v>
      </c>
      <c r="J2" s="49" t="s">
        <v>198</v>
      </c>
    </row>
    <row r="3" spans="1:10" x14ac:dyDescent="0.35">
      <c r="A3" s="39">
        <v>2</v>
      </c>
      <c r="B3" s="40" t="str">
        <f>_xlfn.CONCAT("GroupC",A3)</f>
        <v>GroupC2</v>
      </c>
      <c r="C3" s="40" t="s">
        <v>12</v>
      </c>
      <c r="D3" s="40">
        <v>42</v>
      </c>
      <c r="E3" s="40">
        <f>VLOOKUP(B3,'Testcases evaluation'!$B$2:$E$18,3,FALSE)</f>
        <v>38</v>
      </c>
      <c r="F3" s="41">
        <f>E3/D3 * 100</f>
        <v>90.476190476190482</v>
      </c>
      <c r="G3" s="42">
        <f>ROUND(F3*0.6,0)</f>
        <v>54</v>
      </c>
      <c r="H3" s="40">
        <v>36</v>
      </c>
      <c r="I3" s="41">
        <f>SUM(G3,H3)</f>
        <v>90</v>
      </c>
      <c r="J3" s="40"/>
    </row>
    <row r="4" spans="1:10" x14ac:dyDescent="0.35">
      <c r="A4" s="39">
        <v>3</v>
      </c>
      <c r="B4" s="40" t="str">
        <f>_xlfn.CONCAT("GroupC",A4)</f>
        <v>GroupC3</v>
      </c>
      <c r="C4" s="40" t="s">
        <v>12</v>
      </c>
      <c r="D4" s="40">
        <v>42</v>
      </c>
      <c r="E4" s="40">
        <f>VLOOKUP(B4,'Testcases evaluation'!$B$2:$E$18,3,FALSE)</f>
        <v>32</v>
      </c>
      <c r="F4" s="41">
        <f>E4/D4 * 100</f>
        <v>76.19047619047619</v>
      </c>
      <c r="G4" s="42">
        <f>ROUND(F4*0.6,0)</f>
        <v>46</v>
      </c>
      <c r="H4" s="40">
        <v>34</v>
      </c>
      <c r="I4" s="41">
        <f>SUM(G4,H4)</f>
        <v>80</v>
      </c>
      <c r="J4" s="40"/>
    </row>
    <row r="5" spans="1:10" x14ac:dyDescent="0.35">
      <c r="A5" s="39">
        <v>4</v>
      </c>
      <c r="B5" s="40" t="str">
        <f>_xlfn.CONCAT("GroupC",A5)</f>
        <v>GroupC4</v>
      </c>
      <c r="C5" s="40" t="s">
        <v>12</v>
      </c>
      <c r="D5" s="40">
        <v>42</v>
      </c>
      <c r="E5" s="40">
        <f>VLOOKUP(B5,'Testcases evaluation'!$B$2:$E$18,3,FALSE)</f>
        <v>36</v>
      </c>
      <c r="F5" s="41">
        <f>E5/D5 * 100</f>
        <v>85.714285714285708</v>
      </c>
      <c r="G5" s="42">
        <f>ROUND(F5*0.6,0)</f>
        <v>51</v>
      </c>
      <c r="H5" s="40">
        <v>34</v>
      </c>
      <c r="I5" s="41">
        <f>SUM(G5,H5)</f>
        <v>85</v>
      </c>
      <c r="J5" s="40"/>
    </row>
    <row r="6" spans="1:10" x14ac:dyDescent="0.35">
      <c r="A6" s="39">
        <v>5</v>
      </c>
      <c r="B6" s="40" t="str">
        <f>_xlfn.CONCAT("GroupC",A6)</f>
        <v>GroupC5</v>
      </c>
      <c r="C6" s="40" t="s">
        <v>12</v>
      </c>
      <c r="D6" s="40">
        <v>42</v>
      </c>
      <c r="E6" s="40">
        <f>VLOOKUP(B6,'Testcases evaluation'!$B$2:$E$18,3,FALSE)</f>
        <v>40</v>
      </c>
      <c r="F6" s="41">
        <f>E6/D6 * 100</f>
        <v>95.238095238095227</v>
      </c>
      <c r="G6" s="42">
        <f>ROUND(F6*0.6,0)</f>
        <v>57</v>
      </c>
      <c r="H6" s="40">
        <v>36</v>
      </c>
      <c r="I6" s="41">
        <f>SUM(G6,H6)</f>
        <v>93</v>
      </c>
      <c r="J6" s="40"/>
    </row>
    <row r="7" spans="1:10" x14ac:dyDescent="0.35">
      <c r="A7" s="39">
        <v>6</v>
      </c>
      <c r="B7" s="40" t="str">
        <f>_xlfn.CONCAT("GroupC",A7)</f>
        <v>GroupC6</v>
      </c>
      <c r="C7" s="40" t="s">
        <v>12</v>
      </c>
      <c r="D7" s="40">
        <v>42</v>
      </c>
      <c r="E7" s="40">
        <f>VLOOKUP(B7,'Testcases evaluation'!$B$2:$E$18,3,FALSE)</f>
        <v>36</v>
      </c>
      <c r="F7" s="41">
        <f>E7/D7 * 100</f>
        <v>85.714285714285708</v>
      </c>
      <c r="G7" s="42">
        <f>ROUND(F7*0.6,0)</f>
        <v>51</v>
      </c>
      <c r="H7" s="40">
        <v>34</v>
      </c>
      <c r="I7" s="41">
        <f>SUM(G7,H7)</f>
        <v>85</v>
      </c>
      <c r="J7" s="40"/>
    </row>
    <row r="8" spans="1:10" x14ac:dyDescent="0.35">
      <c r="A8" s="39">
        <v>7</v>
      </c>
      <c r="B8" s="40" t="str">
        <f>_xlfn.CONCAT("GroupC",A8)</f>
        <v>GroupC7</v>
      </c>
      <c r="C8" s="40" t="s">
        <v>12</v>
      </c>
      <c r="D8" s="40">
        <v>42</v>
      </c>
      <c r="E8" s="40">
        <f>VLOOKUP(B8,'Testcases evaluation'!$B$2:$E$18,3,FALSE)</f>
        <v>29</v>
      </c>
      <c r="F8" s="41">
        <f>E8/D8 * 100</f>
        <v>69.047619047619051</v>
      </c>
      <c r="G8" s="42">
        <f>ROUND(F8*0.6,0)</f>
        <v>41</v>
      </c>
      <c r="H8" s="40">
        <v>34</v>
      </c>
      <c r="I8" s="41">
        <f>SUM(G8,H8)</f>
        <v>75</v>
      </c>
      <c r="J8" s="40"/>
    </row>
    <row r="9" spans="1:10" x14ac:dyDescent="0.35">
      <c r="A9" s="39">
        <v>8</v>
      </c>
      <c r="B9" s="40" t="str">
        <f>_xlfn.CONCAT("GroupC",A9)</f>
        <v>GroupC8</v>
      </c>
      <c r="C9" s="40" t="s">
        <v>12</v>
      </c>
      <c r="D9" s="40">
        <v>42</v>
      </c>
      <c r="E9" s="40">
        <f>VLOOKUP(B9,'Testcases evaluation'!$B$2:$E$18,3,FALSE)</f>
        <v>35</v>
      </c>
      <c r="F9" s="41">
        <f>E9/D9 * 100</f>
        <v>83.333333333333343</v>
      </c>
      <c r="G9" s="42">
        <f>ROUND(F9*0.6,0)</f>
        <v>50</v>
      </c>
      <c r="H9" s="40">
        <v>32</v>
      </c>
      <c r="I9" s="41">
        <f>SUM(G9,H9)</f>
        <v>82</v>
      </c>
      <c r="J9" s="40"/>
    </row>
    <row r="10" spans="1:10" x14ac:dyDescent="0.35">
      <c r="A10" s="39">
        <v>9</v>
      </c>
      <c r="B10" s="40" t="str">
        <f>_xlfn.CONCAT("GroupC",A10)</f>
        <v>GroupC9</v>
      </c>
      <c r="C10" s="40" t="s">
        <v>76</v>
      </c>
      <c r="D10" s="40">
        <v>42</v>
      </c>
      <c r="E10" s="40">
        <f>VLOOKUP(B10,'Testcases evaluation'!$B$2:$E$18,3,FALSE)</f>
        <v>35</v>
      </c>
      <c r="F10" s="41">
        <f>E10/D10 * 100</f>
        <v>83.333333333333343</v>
      </c>
      <c r="G10" s="42">
        <f>ROUND(F10*0.6,0)</f>
        <v>50</v>
      </c>
      <c r="H10" s="40">
        <f>VLOOKUP(B10,'[1]Visteon Assessors Evaluation'!$A$2:$C$84,3,FALSE)</f>
        <v>34</v>
      </c>
      <c r="I10" s="41">
        <f>SUM(G10,H10)</f>
        <v>84</v>
      </c>
      <c r="J10" s="40"/>
    </row>
    <row r="11" spans="1:10" x14ac:dyDescent="0.35">
      <c r="A11" s="39">
        <v>10</v>
      </c>
      <c r="B11" s="40" t="str">
        <f>_xlfn.CONCAT("GroupC",A11)</f>
        <v>GroupC10</v>
      </c>
      <c r="C11" s="40" t="s">
        <v>76</v>
      </c>
      <c r="D11" s="40">
        <v>42</v>
      </c>
      <c r="E11" s="40">
        <f>VLOOKUP(B11,'Testcases evaluation'!$B$2:$E$18,3,FALSE)</f>
        <v>34</v>
      </c>
      <c r="F11" s="41">
        <f>E11/D11 * 100</f>
        <v>80.952380952380949</v>
      </c>
      <c r="G11" s="42">
        <f>ROUND(F11*0.6,0)</f>
        <v>49</v>
      </c>
      <c r="H11" s="40">
        <v>30</v>
      </c>
      <c r="I11" s="41">
        <f>SUM(G11,H11)</f>
        <v>79</v>
      </c>
      <c r="J11" s="43"/>
    </row>
    <row r="12" spans="1:10" x14ac:dyDescent="0.35">
      <c r="A12" s="39">
        <v>11</v>
      </c>
      <c r="B12" s="47" t="str">
        <f>_xlfn.CONCAT("GroupC",A12)</f>
        <v>GroupC11</v>
      </c>
      <c r="C12" s="47" t="s">
        <v>100</v>
      </c>
      <c r="D12" s="47">
        <v>42</v>
      </c>
      <c r="E12" s="47">
        <f>VLOOKUP(B12,'Testcases evaluation'!$B$2:$E$18,3,FALSE)</f>
        <v>41</v>
      </c>
      <c r="F12" s="48">
        <f>E12/D12 * 100</f>
        <v>97.61904761904762</v>
      </c>
      <c r="G12" s="48">
        <f>ROUND(F12*0.6,0)</f>
        <v>59</v>
      </c>
      <c r="H12" s="47">
        <v>36</v>
      </c>
      <c r="I12" s="48">
        <f>SUM(G12,H12)</f>
        <v>95</v>
      </c>
      <c r="J12" s="49" t="s">
        <v>198</v>
      </c>
    </row>
    <row r="13" spans="1:10" x14ac:dyDescent="0.35">
      <c r="A13" s="39">
        <v>12</v>
      </c>
      <c r="B13" s="40" t="str">
        <f>_xlfn.CONCAT("GroupC",A13)</f>
        <v>GroupC12</v>
      </c>
      <c r="C13" s="40" t="s">
        <v>100</v>
      </c>
      <c r="D13" s="40">
        <v>42</v>
      </c>
      <c r="E13" s="40">
        <f>VLOOKUP(B13,'Testcases evaluation'!$B$2:$E$18,3,FALSE)</f>
        <v>39</v>
      </c>
      <c r="F13" s="41">
        <f>E13/D13 * 100</f>
        <v>92.857142857142861</v>
      </c>
      <c r="G13" s="42">
        <f>ROUND(F13*0.6,0)</f>
        <v>56</v>
      </c>
      <c r="H13" s="40">
        <v>36</v>
      </c>
      <c r="I13" s="41">
        <f>SUM(G13,H13)</f>
        <v>92</v>
      </c>
      <c r="J13" s="40"/>
    </row>
    <row r="14" spans="1:10" x14ac:dyDescent="0.35">
      <c r="A14" s="39">
        <v>13</v>
      </c>
      <c r="B14" s="40" t="str">
        <f>_xlfn.CONCAT("GroupC",A14)</f>
        <v>GroupC13</v>
      </c>
      <c r="C14" s="40" t="s">
        <v>100</v>
      </c>
      <c r="D14" s="40">
        <v>42</v>
      </c>
      <c r="E14" s="40">
        <f>VLOOKUP(B14,'Testcases evaluation'!$B$2:$E$18,3,FALSE)</f>
        <v>37</v>
      </c>
      <c r="F14" s="41">
        <f>E14/D14 * 100</f>
        <v>88.095238095238088</v>
      </c>
      <c r="G14" s="42">
        <f>ROUND(F14*0.6,0)</f>
        <v>53</v>
      </c>
      <c r="H14" s="40">
        <v>36</v>
      </c>
      <c r="I14" s="41">
        <f>SUM(G14,H14)</f>
        <v>89</v>
      </c>
      <c r="J14" s="40"/>
    </row>
    <row r="15" spans="1:10" x14ac:dyDescent="0.35">
      <c r="A15" s="39">
        <v>14</v>
      </c>
      <c r="B15" s="40" t="str">
        <f>_xlfn.CONCAT("GroupC",A15)</f>
        <v>GroupC14</v>
      </c>
      <c r="C15" s="40" t="s">
        <v>100</v>
      </c>
      <c r="D15" s="40">
        <v>42</v>
      </c>
      <c r="E15" s="40">
        <f>VLOOKUP(B15,'Testcases evaluation'!$B$2:$E$18,3,FALSE)</f>
        <v>35</v>
      </c>
      <c r="F15" s="41">
        <f>E15/D15 * 100</f>
        <v>83.333333333333343</v>
      </c>
      <c r="G15" s="42">
        <f>ROUND(F15*0.6,0)</f>
        <v>50</v>
      </c>
      <c r="H15" s="40">
        <v>38</v>
      </c>
      <c r="I15" s="41">
        <f>SUM(G15,H15)</f>
        <v>88</v>
      </c>
      <c r="J15" s="40"/>
    </row>
    <row r="16" spans="1:10" x14ac:dyDescent="0.35">
      <c r="A16" s="39">
        <v>15</v>
      </c>
      <c r="B16" s="40" t="str">
        <f>_xlfn.CONCAT("GroupC",A16)</f>
        <v>GroupC15</v>
      </c>
      <c r="C16" s="40" t="s">
        <v>142</v>
      </c>
      <c r="D16" s="40">
        <v>42</v>
      </c>
      <c r="E16" s="40">
        <f>VLOOKUP(B16,'Testcases evaluation'!$B$2:$E$18,3,FALSE)</f>
        <v>33</v>
      </c>
      <c r="F16" s="41">
        <f>E16/D16 * 100</f>
        <v>78.571428571428569</v>
      </c>
      <c r="G16" s="42">
        <f>ROUND(F16*0.6,0)</f>
        <v>47</v>
      </c>
      <c r="H16" s="40">
        <v>28</v>
      </c>
      <c r="I16" s="41">
        <f>SUM(G16,H16)</f>
        <v>75</v>
      </c>
      <c r="J16" s="40"/>
    </row>
    <row r="17" spans="1:10" x14ac:dyDescent="0.35">
      <c r="A17" s="39">
        <v>16</v>
      </c>
      <c r="B17" s="40" t="str">
        <f>_xlfn.CONCAT("GroupC",A17)</f>
        <v>GroupC16</v>
      </c>
      <c r="C17" s="40" t="s">
        <v>142</v>
      </c>
      <c r="D17" s="40">
        <v>42</v>
      </c>
      <c r="E17" s="40">
        <f>VLOOKUP(B17,'Testcases evaluation'!$B$2:$E$18,3,FALSE)</f>
        <v>33</v>
      </c>
      <c r="F17" s="41">
        <f>E17/D17 * 100</f>
        <v>78.571428571428569</v>
      </c>
      <c r="G17" s="42">
        <f>ROUND(F17*0.6,0)</f>
        <v>47</v>
      </c>
      <c r="H17" s="40">
        <v>28</v>
      </c>
      <c r="I17" s="41">
        <f>SUM(G17,H17)</f>
        <v>75</v>
      </c>
      <c r="J17" s="40"/>
    </row>
    <row r="18" spans="1:10" x14ac:dyDescent="0.35">
      <c r="A18" s="39">
        <v>17</v>
      </c>
      <c r="B18" s="40" t="str">
        <f>_xlfn.CONCAT("GroupC",A18)</f>
        <v>GroupC17</v>
      </c>
      <c r="C18" s="40" t="s">
        <v>160</v>
      </c>
      <c r="D18" s="40">
        <v>42</v>
      </c>
      <c r="E18" s="40">
        <f>VLOOKUP(B18,'Testcases evaluation'!$B$2:$E$18,3,FALSE)</f>
        <v>27</v>
      </c>
      <c r="F18" s="41">
        <f>E18/D18 * 100</f>
        <v>64.285714285714292</v>
      </c>
      <c r="G18" s="42">
        <f>ROUND(F18*0.6,0)</f>
        <v>39</v>
      </c>
      <c r="H18" s="40">
        <v>30</v>
      </c>
      <c r="I18" s="41">
        <f>SUM(G18,H18)</f>
        <v>69</v>
      </c>
      <c r="J18" s="40"/>
    </row>
  </sheetData>
  <autoFilter ref="A1:J18" xr:uid="{D467CB57-16C6-4772-B52F-196BA005EE5C}">
    <sortState xmlns:xlrd2="http://schemas.microsoft.com/office/spreadsheetml/2017/richdata2" ref="A2:J18">
      <sortCondition ref="A1:A1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9"/>
  <sheetViews>
    <sheetView topLeftCell="A99" workbookViewId="0">
      <selection activeCell="E127" sqref="E127"/>
    </sheetView>
  </sheetViews>
  <sheetFormatPr defaultRowHeight="14.5" x14ac:dyDescent="0.35"/>
  <cols>
    <col min="1" max="1" width="18.7265625" bestFit="1" customWidth="1"/>
    <col min="2" max="2" width="12.26953125" customWidth="1"/>
    <col min="3" max="3" width="35.54296875" style="16" customWidth="1"/>
    <col min="4" max="4" width="6" bestFit="1" customWidth="1"/>
    <col min="5" max="5" width="25.81640625" bestFit="1" customWidth="1"/>
    <col min="6" max="6" width="14" bestFit="1" customWidth="1"/>
    <col min="7" max="7" width="28.7265625" bestFit="1" customWidth="1"/>
    <col min="8" max="8" width="20.7265625" bestFit="1" customWidth="1"/>
    <col min="9" max="9" width="20.81640625" bestFit="1" customWidth="1"/>
    <col min="10" max="10" width="74.08984375" customWidth="1"/>
    <col min="11" max="11" width="129.1796875" customWidth="1"/>
  </cols>
  <sheetData>
    <row r="1" spans="1:1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0" t="s">
        <v>9</v>
      </c>
      <c r="K1" s="11" t="s">
        <v>10</v>
      </c>
    </row>
    <row r="2" spans="1:11" x14ac:dyDescent="0.35">
      <c r="A2" s="9" t="s">
        <v>11</v>
      </c>
      <c r="B2" s="12" t="s">
        <v>12</v>
      </c>
      <c r="C2" s="15" t="s">
        <v>13</v>
      </c>
      <c r="D2" s="7">
        <v>1</v>
      </c>
      <c r="E2" s="7" t="s">
        <v>14</v>
      </c>
      <c r="F2" s="3"/>
      <c r="G2" s="3"/>
      <c r="H2" s="3"/>
      <c r="I2" s="4">
        <v>8</v>
      </c>
      <c r="J2" s="7" t="s">
        <v>15</v>
      </c>
      <c r="K2" s="22" t="s">
        <v>16</v>
      </c>
    </row>
    <row r="3" spans="1:11" x14ac:dyDescent="0.35">
      <c r="A3" s="7" t="s">
        <v>17</v>
      </c>
      <c r="B3" s="7" t="s">
        <v>17</v>
      </c>
      <c r="C3" s="15" t="s">
        <v>18</v>
      </c>
      <c r="D3" s="7">
        <v>2</v>
      </c>
      <c r="E3" s="7" t="s">
        <v>19</v>
      </c>
      <c r="F3" s="3"/>
      <c r="G3" s="3"/>
      <c r="H3" s="3"/>
      <c r="I3" s="4">
        <v>8</v>
      </c>
      <c r="J3" s="7" t="s">
        <v>15</v>
      </c>
      <c r="K3" s="22"/>
    </row>
    <row r="4" spans="1:11" x14ac:dyDescent="0.35">
      <c r="A4" s="7" t="s">
        <v>17</v>
      </c>
      <c r="B4" s="7" t="s">
        <v>17</v>
      </c>
      <c r="C4" s="15" t="s">
        <v>20</v>
      </c>
      <c r="D4" s="7">
        <v>3</v>
      </c>
      <c r="E4" s="7" t="s">
        <v>21</v>
      </c>
      <c r="F4" s="3"/>
      <c r="G4" s="3"/>
      <c r="H4" s="3">
        <v>6</v>
      </c>
      <c r="I4" s="4"/>
      <c r="J4" s="7" t="s">
        <v>15</v>
      </c>
      <c r="K4" s="22"/>
    </row>
    <row r="5" spans="1:11" x14ac:dyDescent="0.35">
      <c r="A5" s="7" t="s">
        <v>17</v>
      </c>
      <c r="B5" s="7" t="s">
        <v>17</v>
      </c>
      <c r="C5" s="15" t="s">
        <v>22</v>
      </c>
      <c r="D5" s="7">
        <v>4</v>
      </c>
      <c r="E5" s="7" t="s">
        <v>23</v>
      </c>
      <c r="F5" s="3"/>
      <c r="G5" s="3"/>
      <c r="H5" s="3">
        <v>6</v>
      </c>
      <c r="I5" s="4"/>
      <c r="J5" s="7" t="s">
        <v>24</v>
      </c>
      <c r="K5" s="22"/>
    </row>
    <row r="6" spans="1:11" x14ac:dyDescent="0.35">
      <c r="A6" s="7" t="s">
        <v>17</v>
      </c>
      <c r="B6" s="7" t="s">
        <v>17</v>
      </c>
      <c r="C6" s="13"/>
      <c r="D6" s="7">
        <v>5</v>
      </c>
      <c r="E6" s="7" t="s">
        <v>25</v>
      </c>
      <c r="F6" s="3"/>
      <c r="G6" s="3"/>
      <c r="H6" s="3">
        <v>6</v>
      </c>
      <c r="I6" s="4"/>
      <c r="J6" s="7"/>
      <c r="K6" s="22"/>
    </row>
    <row r="7" spans="1:11" x14ac:dyDescent="0.35">
      <c r="A7" s="7" t="s">
        <v>17</v>
      </c>
      <c r="B7" s="7" t="s">
        <v>17</v>
      </c>
      <c r="C7" s="7" t="s">
        <v>17</v>
      </c>
      <c r="D7" s="7" t="s">
        <v>17</v>
      </c>
      <c r="E7" s="14" t="s">
        <v>26</v>
      </c>
      <c r="F7" s="3"/>
      <c r="G7" s="3"/>
      <c r="H7" s="3"/>
      <c r="I7" s="21">
        <f>SUM(F2:I6)</f>
        <v>34</v>
      </c>
      <c r="J7" s="7"/>
      <c r="K7" s="22"/>
    </row>
    <row r="8" spans="1:11" x14ac:dyDescent="0.35">
      <c r="A8" s="8" t="s">
        <v>0</v>
      </c>
      <c r="B8" s="8" t="s">
        <v>1</v>
      </c>
      <c r="C8" s="8" t="s">
        <v>2</v>
      </c>
      <c r="D8" s="8" t="s">
        <v>3</v>
      </c>
      <c r="E8" s="8" t="s">
        <v>4</v>
      </c>
      <c r="F8" s="5" t="s">
        <v>5</v>
      </c>
      <c r="G8" s="5" t="s">
        <v>6</v>
      </c>
      <c r="H8" s="5" t="s">
        <v>7</v>
      </c>
      <c r="I8" s="6" t="s">
        <v>8</v>
      </c>
      <c r="J8" s="10" t="s">
        <v>9</v>
      </c>
      <c r="K8" s="11" t="s">
        <v>10</v>
      </c>
    </row>
    <row r="9" spans="1:11" x14ac:dyDescent="0.35">
      <c r="A9" s="9" t="s">
        <v>27</v>
      </c>
      <c r="B9" s="12" t="s">
        <v>12</v>
      </c>
      <c r="C9" s="15" t="s">
        <v>28</v>
      </c>
      <c r="D9" s="7">
        <v>1</v>
      </c>
      <c r="E9" s="7" t="s">
        <v>14</v>
      </c>
      <c r="F9" s="3"/>
      <c r="G9" s="3"/>
      <c r="H9" s="3"/>
      <c r="I9" s="4">
        <v>8</v>
      </c>
      <c r="J9" s="7" t="s">
        <v>29</v>
      </c>
      <c r="K9" s="24" t="s">
        <v>30</v>
      </c>
    </row>
    <row r="10" spans="1:11" x14ac:dyDescent="0.35">
      <c r="A10" s="7" t="s">
        <v>17</v>
      </c>
      <c r="B10" s="7" t="s">
        <v>17</v>
      </c>
      <c r="C10" s="15" t="s">
        <v>31</v>
      </c>
      <c r="D10" s="7">
        <v>2</v>
      </c>
      <c r="E10" s="7" t="s">
        <v>19</v>
      </c>
      <c r="F10" s="3"/>
      <c r="G10" s="3"/>
      <c r="H10" s="3"/>
      <c r="I10" s="4">
        <v>8</v>
      </c>
      <c r="J10" s="7" t="s">
        <v>29</v>
      </c>
      <c r="K10" s="22"/>
    </row>
    <row r="11" spans="1:11" x14ac:dyDescent="0.35">
      <c r="A11" s="7" t="s">
        <v>17</v>
      </c>
      <c r="B11" s="7" t="s">
        <v>17</v>
      </c>
      <c r="C11" s="15" t="s">
        <v>32</v>
      </c>
      <c r="D11" s="7">
        <v>3</v>
      </c>
      <c r="E11" s="7" t="s">
        <v>21</v>
      </c>
      <c r="F11" s="3"/>
      <c r="G11" s="3"/>
      <c r="H11" s="3">
        <v>6</v>
      </c>
      <c r="I11" s="4"/>
      <c r="J11" s="7" t="s">
        <v>29</v>
      </c>
      <c r="K11" s="22"/>
    </row>
    <row r="12" spans="1:11" x14ac:dyDescent="0.35">
      <c r="A12" s="7" t="s">
        <v>17</v>
      </c>
      <c r="B12" s="7" t="s">
        <v>17</v>
      </c>
      <c r="C12" s="15" t="s">
        <v>33</v>
      </c>
      <c r="D12" s="7">
        <v>4</v>
      </c>
      <c r="E12" s="7" t="s">
        <v>23</v>
      </c>
      <c r="F12" s="3"/>
      <c r="G12" s="3"/>
      <c r="H12" s="3"/>
      <c r="I12" s="4">
        <v>8</v>
      </c>
      <c r="J12" s="7" t="s">
        <v>29</v>
      </c>
      <c r="K12" s="22"/>
    </row>
    <row r="13" spans="1:11" x14ac:dyDescent="0.35">
      <c r="A13" s="7" t="s">
        <v>17</v>
      </c>
      <c r="B13" s="7" t="s">
        <v>17</v>
      </c>
      <c r="C13" s="13"/>
      <c r="D13" s="7">
        <v>5</v>
      </c>
      <c r="E13" s="7" t="s">
        <v>25</v>
      </c>
      <c r="F13" s="3"/>
      <c r="G13" s="3"/>
      <c r="H13" s="3">
        <v>6</v>
      </c>
      <c r="I13" s="4"/>
      <c r="J13" s="7"/>
      <c r="K13" s="22"/>
    </row>
    <row r="14" spans="1:11" x14ac:dyDescent="0.35">
      <c r="A14" s="7" t="s">
        <v>17</v>
      </c>
      <c r="B14" s="7" t="s">
        <v>17</v>
      </c>
      <c r="C14" s="7" t="s">
        <v>17</v>
      </c>
      <c r="D14" s="7" t="s">
        <v>17</v>
      </c>
      <c r="E14" s="14" t="s">
        <v>26</v>
      </c>
      <c r="F14" s="3"/>
      <c r="G14" s="3"/>
      <c r="H14" s="3"/>
      <c r="I14" s="21">
        <f>SUM(F9:I13)</f>
        <v>36</v>
      </c>
      <c r="J14" s="7"/>
      <c r="K14" s="22"/>
    </row>
    <row r="15" spans="1:11" x14ac:dyDescent="0.35">
      <c r="A15" s="8" t="s">
        <v>0</v>
      </c>
      <c r="B15" s="8" t="s">
        <v>1</v>
      </c>
      <c r="C15" s="8" t="s">
        <v>2</v>
      </c>
      <c r="D15" s="8" t="s">
        <v>3</v>
      </c>
      <c r="E15" s="8" t="s">
        <v>4</v>
      </c>
      <c r="F15" s="5" t="s">
        <v>5</v>
      </c>
      <c r="G15" s="5" t="s">
        <v>6</v>
      </c>
      <c r="H15" s="5" t="s">
        <v>7</v>
      </c>
      <c r="I15" s="6" t="s">
        <v>8</v>
      </c>
      <c r="J15" s="10" t="s">
        <v>9</v>
      </c>
      <c r="K15" s="11" t="s">
        <v>10</v>
      </c>
    </row>
    <row r="16" spans="1:11" x14ac:dyDescent="0.35">
      <c r="A16" s="9" t="s">
        <v>34</v>
      </c>
      <c r="B16" s="12" t="s">
        <v>12</v>
      </c>
      <c r="C16" s="15" t="s">
        <v>35</v>
      </c>
      <c r="D16" s="7">
        <v>1</v>
      </c>
      <c r="E16" s="7" t="s">
        <v>14</v>
      </c>
      <c r="F16" s="3"/>
      <c r="G16" s="3"/>
      <c r="H16" s="3"/>
      <c r="I16" s="4">
        <v>8</v>
      </c>
      <c r="J16" s="7" t="s">
        <v>36</v>
      </c>
      <c r="K16" s="22" t="s">
        <v>37</v>
      </c>
    </row>
    <row r="17" spans="1:11" x14ac:dyDescent="0.35">
      <c r="A17" s="7" t="s">
        <v>17</v>
      </c>
      <c r="B17" s="7" t="s">
        <v>17</v>
      </c>
      <c r="C17" s="15" t="s">
        <v>38</v>
      </c>
      <c r="D17" s="7">
        <v>2</v>
      </c>
      <c r="E17" s="7" t="s">
        <v>19</v>
      </c>
      <c r="F17" s="3"/>
      <c r="G17" s="3"/>
      <c r="H17" s="3"/>
      <c r="I17" s="4">
        <v>8</v>
      </c>
      <c r="J17" s="7" t="s">
        <v>36</v>
      </c>
      <c r="K17" s="22"/>
    </row>
    <row r="18" spans="1:11" x14ac:dyDescent="0.35">
      <c r="A18" s="7" t="s">
        <v>17</v>
      </c>
      <c r="B18" s="7" t="s">
        <v>17</v>
      </c>
      <c r="C18" s="15" t="s">
        <v>39</v>
      </c>
      <c r="D18" s="7">
        <v>3</v>
      </c>
      <c r="E18" s="7" t="s">
        <v>21</v>
      </c>
      <c r="F18" s="3"/>
      <c r="G18" s="3"/>
      <c r="H18" s="3">
        <v>6</v>
      </c>
      <c r="I18" s="4"/>
      <c r="J18" s="7" t="s">
        <v>36</v>
      </c>
      <c r="K18" s="22"/>
    </row>
    <row r="19" spans="1:11" x14ac:dyDescent="0.35">
      <c r="A19" s="7" t="s">
        <v>17</v>
      </c>
      <c r="B19" s="7" t="s">
        <v>17</v>
      </c>
      <c r="C19" s="15" t="s">
        <v>40</v>
      </c>
      <c r="D19" s="7">
        <v>4</v>
      </c>
      <c r="E19" s="7" t="s">
        <v>23</v>
      </c>
      <c r="F19" s="3"/>
      <c r="G19" s="3"/>
      <c r="H19" s="3">
        <v>6</v>
      </c>
      <c r="I19" s="4"/>
      <c r="J19" s="7" t="s">
        <v>36</v>
      </c>
      <c r="K19" s="22"/>
    </row>
    <row r="20" spans="1:11" x14ac:dyDescent="0.35">
      <c r="A20" s="7" t="s">
        <v>17</v>
      </c>
      <c r="B20" s="7" t="s">
        <v>17</v>
      </c>
      <c r="C20" s="13"/>
      <c r="D20" s="7">
        <v>5</v>
      </c>
      <c r="E20" s="7" t="s">
        <v>25</v>
      </c>
      <c r="F20" s="3"/>
      <c r="G20" s="3"/>
      <c r="H20" s="3">
        <v>6</v>
      </c>
      <c r="I20" s="4"/>
      <c r="J20" s="7"/>
      <c r="K20" s="22"/>
    </row>
    <row r="21" spans="1:11" x14ac:dyDescent="0.35">
      <c r="A21" s="7" t="s">
        <v>17</v>
      </c>
      <c r="B21" s="7" t="s">
        <v>17</v>
      </c>
      <c r="C21" s="13"/>
      <c r="D21" s="7" t="s">
        <v>17</v>
      </c>
      <c r="E21" s="14" t="s">
        <v>26</v>
      </c>
      <c r="F21" s="3"/>
      <c r="G21" s="3"/>
      <c r="H21" s="3"/>
      <c r="I21" s="21">
        <f>SUM(F16:I20)</f>
        <v>34</v>
      </c>
      <c r="J21" s="7"/>
      <c r="K21" s="22"/>
    </row>
    <row r="22" spans="1:11" x14ac:dyDescent="0.35">
      <c r="A22" s="8" t="s">
        <v>0</v>
      </c>
      <c r="B22" s="8" t="s">
        <v>1</v>
      </c>
      <c r="C22" s="8" t="s">
        <v>2</v>
      </c>
      <c r="D22" s="8" t="s">
        <v>3</v>
      </c>
      <c r="E22" s="8" t="s">
        <v>4</v>
      </c>
      <c r="F22" s="5" t="s">
        <v>5</v>
      </c>
      <c r="G22" s="5" t="s">
        <v>6</v>
      </c>
      <c r="H22" s="5" t="s">
        <v>7</v>
      </c>
      <c r="I22" s="6" t="s">
        <v>8</v>
      </c>
      <c r="J22" s="10" t="s">
        <v>9</v>
      </c>
      <c r="K22" s="11" t="s">
        <v>10</v>
      </c>
    </row>
    <row r="23" spans="1:11" x14ac:dyDescent="0.35">
      <c r="A23" s="9" t="s">
        <v>41</v>
      </c>
      <c r="B23" s="12" t="s">
        <v>12</v>
      </c>
      <c r="C23" s="15" t="s">
        <v>42</v>
      </c>
      <c r="D23" s="7">
        <v>1</v>
      </c>
      <c r="E23" s="7" t="s">
        <v>14</v>
      </c>
      <c r="F23" s="3"/>
      <c r="G23" s="3"/>
      <c r="H23" s="3"/>
      <c r="I23" s="4">
        <v>8</v>
      </c>
      <c r="J23" s="7" t="s">
        <v>24</v>
      </c>
      <c r="K23" s="22" t="s">
        <v>43</v>
      </c>
    </row>
    <row r="24" spans="1:11" x14ac:dyDescent="0.35">
      <c r="A24" s="7" t="s">
        <v>17</v>
      </c>
      <c r="B24" s="7" t="s">
        <v>17</v>
      </c>
      <c r="C24" s="15" t="s">
        <v>44</v>
      </c>
      <c r="D24" s="7">
        <v>2</v>
      </c>
      <c r="E24" s="7" t="s">
        <v>19</v>
      </c>
      <c r="F24" s="3"/>
      <c r="G24" s="3"/>
      <c r="H24" s="3"/>
      <c r="I24" s="4">
        <v>8</v>
      </c>
      <c r="J24" s="7" t="s">
        <v>24</v>
      </c>
      <c r="K24" s="22"/>
    </row>
    <row r="25" spans="1:11" x14ac:dyDescent="0.35">
      <c r="A25" s="7" t="s">
        <v>17</v>
      </c>
      <c r="B25" s="7" t="s">
        <v>17</v>
      </c>
      <c r="C25" s="15" t="s">
        <v>45</v>
      </c>
      <c r="D25" s="7">
        <v>3</v>
      </c>
      <c r="E25" s="7" t="s">
        <v>21</v>
      </c>
      <c r="F25" s="3"/>
      <c r="G25" s="3"/>
      <c r="H25" s="3">
        <v>6</v>
      </c>
      <c r="I25" s="4"/>
      <c r="J25" s="7" t="s">
        <v>24</v>
      </c>
      <c r="K25" s="22"/>
    </row>
    <row r="26" spans="1:11" x14ac:dyDescent="0.35">
      <c r="A26" s="7" t="s">
        <v>17</v>
      </c>
      <c r="B26" s="7" t="s">
        <v>17</v>
      </c>
      <c r="C26" s="15" t="s">
        <v>46</v>
      </c>
      <c r="D26" s="7">
        <v>4</v>
      </c>
      <c r="E26" s="7" t="s">
        <v>23</v>
      </c>
      <c r="F26" s="3"/>
      <c r="G26" s="3"/>
      <c r="H26" s="3">
        <v>6</v>
      </c>
      <c r="I26" s="4"/>
      <c r="J26" s="7" t="s">
        <v>24</v>
      </c>
      <c r="K26" s="22"/>
    </row>
    <row r="27" spans="1:11" x14ac:dyDescent="0.35">
      <c r="A27" s="7" t="s">
        <v>17</v>
      </c>
      <c r="B27" s="7" t="s">
        <v>17</v>
      </c>
      <c r="C27" s="13"/>
      <c r="D27" s="7">
        <v>5</v>
      </c>
      <c r="E27" s="7" t="s">
        <v>25</v>
      </c>
      <c r="F27" s="3"/>
      <c r="G27" s="3"/>
      <c r="H27" s="3">
        <v>6</v>
      </c>
      <c r="I27" s="4"/>
      <c r="J27" s="7"/>
      <c r="K27" s="22"/>
    </row>
    <row r="28" spans="1:11" x14ac:dyDescent="0.35">
      <c r="A28" s="7" t="s">
        <v>17</v>
      </c>
      <c r="B28" s="7" t="s">
        <v>17</v>
      </c>
      <c r="C28" s="13"/>
      <c r="D28" s="7" t="s">
        <v>17</v>
      </c>
      <c r="E28" s="14" t="s">
        <v>26</v>
      </c>
      <c r="F28" s="3"/>
      <c r="G28" s="3"/>
      <c r="H28" s="3"/>
      <c r="I28" s="21">
        <f>SUM(F23:I27)</f>
        <v>34</v>
      </c>
      <c r="J28" s="7"/>
      <c r="K28" s="22"/>
    </row>
    <row r="29" spans="1:11" x14ac:dyDescent="0.35">
      <c r="A29" s="8" t="s">
        <v>0</v>
      </c>
      <c r="B29" s="8" t="s">
        <v>1</v>
      </c>
      <c r="C29" s="8" t="s">
        <v>2</v>
      </c>
      <c r="D29" s="8" t="s">
        <v>3</v>
      </c>
      <c r="E29" s="8" t="s">
        <v>4</v>
      </c>
      <c r="F29" s="5" t="s">
        <v>5</v>
      </c>
      <c r="G29" s="5" t="s">
        <v>6</v>
      </c>
      <c r="H29" s="5" t="s">
        <v>7</v>
      </c>
      <c r="I29" s="6" t="s">
        <v>8</v>
      </c>
      <c r="J29" s="10" t="s">
        <v>47</v>
      </c>
      <c r="K29" s="11" t="s">
        <v>10</v>
      </c>
    </row>
    <row r="30" spans="1:11" x14ac:dyDescent="0.35">
      <c r="A30" s="9" t="s">
        <v>48</v>
      </c>
      <c r="B30" s="12" t="s">
        <v>12</v>
      </c>
      <c r="C30" s="15" t="s">
        <v>49</v>
      </c>
      <c r="D30" s="7">
        <v>1</v>
      </c>
      <c r="E30" s="7" t="s">
        <v>14</v>
      </c>
      <c r="F30" s="3"/>
      <c r="G30" s="3"/>
      <c r="H30" s="3"/>
      <c r="I30" s="4">
        <v>8</v>
      </c>
      <c r="J30" s="7" t="s">
        <v>50</v>
      </c>
      <c r="K30" s="22" t="s">
        <v>51</v>
      </c>
    </row>
    <row r="31" spans="1:11" x14ac:dyDescent="0.35">
      <c r="A31" s="7" t="s">
        <v>17</v>
      </c>
      <c r="B31" s="7" t="s">
        <v>17</v>
      </c>
      <c r="C31" s="15" t="s">
        <v>52</v>
      </c>
      <c r="D31" s="7">
        <v>2</v>
      </c>
      <c r="E31" s="7" t="s">
        <v>19</v>
      </c>
      <c r="F31" s="3"/>
      <c r="G31" s="3"/>
      <c r="H31" s="3">
        <v>6</v>
      </c>
      <c r="I31" s="4"/>
      <c r="J31" s="7" t="s">
        <v>53</v>
      </c>
      <c r="K31" s="22"/>
    </row>
    <row r="32" spans="1:11" x14ac:dyDescent="0.35">
      <c r="A32" s="7" t="s">
        <v>17</v>
      </c>
      <c r="B32" s="7" t="s">
        <v>17</v>
      </c>
      <c r="C32" s="15" t="s">
        <v>54</v>
      </c>
      <c r="D32" s="7">
        <v>3</v>
      </c>
      <c r="E32" s="7" t="s">
        <v>21</v>
      </c>
      <c r="F32" s="3"/>
      <c r="G32" s="3"/>
      <c r="H32" s="3"/>
      <c r="I32" s="4">
        <v>8</v>
      </c>
      <c r="J32" s="7" t="s">
        <v>50</v>
      </c>
      <c r="K32" s="22"/>
    </row>
    <row r="33" spans="1:11" x14ac:dyDescent="0.35">
      <c r="A33" s="7" t="s">
        <v>17</v>
      </c>
      <c r="B33" s="7" t="s">
        <v>17</v>
      </c>
      <c r="C33" s="15" t="s">
        <v>55</v>
      </c>
      <c r="D33" s="7">
        <v>4</v>
      </c>
      <c r="E33" s="7" t="s">
        <v>23</v>
      </c>
      <c r="F33" s="3"/>
      <c r="G33" s="3"/>
      <c r="H33" s="3">
        <v>6</v>
      </c>
      <c r="I33" s="4"/>
      <c r="J33" s="7" t="s">
        <v>50</v>
      </c>
      <c r="K33" s="22"/>
    </row>
    <row r="34" spans="1:11" x14ac:dyDescent="0.35">
      <c r="A34" s="7" t="s">
        <v>17</v>
      </c>
      <c r="B34" s="7" t="s">
        <v>17</v>
      </c>
      <c r="C34" s="13"/>
      <c r="D34" s="7">
        <v>5</v>
      </c>
      <c r="E34" s="7" t="s">
        <v>25</v>
      </c>
      <c r="F34" s="3"/>
      <c r="G34" s="3"/>
      <c r="H34" s="3"/>
      <c r="I34" s="4">
        <v>8</v>
      </c>
      <c r="J34" s="7"/>
      <c r="K34" s="22"/>
    </row>
    <row r="35" spans="1:11" x14ac:dyDescent="0.35">
      <c r="A35" s="7" t="s">
        <v>17</v>
      </c>
      <c r="B35" s="7" t="s">
        <v>17</v>
      </c>
      <c r="C35" s="7" t="s">
        <v>17</v>
      </c>
      <c r="D35" s="7" t="s">
        <v>17</v>
      </c>
      <c r="E35" s="14" t="s">
        <v>26</v>
      </c>
      <c r="F35" s="3"/>
      <c r="G35" s="3"/>
      <c r="H35" s="3" t="s">
        <v>167</v>
      </c>
      <c r="I35" s="21">
        <f>SUM(F30:I34)</f>
        <v>36</v>
      </c>
      <c r="J35" s="7"/>
      <c r="K35" s="22"/>
    </row>
    <row r="36" spans="1:11" x14ac:dyDescent="0.35">
      <c r="A36" s="8" t="s">
        <v>0</v>
      </c>
      <c r="B36" s="8" t="s">
        <v>1</v>
      </c>
      <c r="C36" s="8" t="s">
        <v>2</v>
      </c>
      <c r="D36" s="8" t="s">
        <v>3</v>
      </c>
      <c r="E36" s="8" t="s">
        <v>4</v>
      </c>
      <c r="F36" s="5" t="s">
        <v>5</v>
      </c>
      <c r="G36" s="5" t="s">
        <v>6</v>
      </c>
      <c r="H36" s="5" t="s">
        <v>7</v>
      </c>
      <c r="I36" s="6" t="s">
        <v>8</v>
      </c>
      <c r="J36" s="10" t="s">
        <v>9</v>
      </c>
      <c r="K36" s="11" t="s">
        <v>10</v>
      </c>
    </row>
    <row r="37" spans="1:11" x14ac:dyDescent="0.35">
      <c r="A37" s="9" t="s">
        <v>56</v>
      </c>
      <c r="B37" s="12" t="s">
        <v>12</v>
      </c>
      <c r="C37" s="15" t="s">
        <v>57</v>
      </c>
      <c r="D37" s="7">
        <v>1</v>
      </c>
      <c r="E37" s="7" t="s">
        <v>14</v>
      </c>
      <c r="F37" s="3"/>
      <c r="G37" s="3"/>
      <c r="H37" s="3"/>
      <c r="I37" s="4">
        <v>8</v>
      </c>
      <c r="J37" s="7" t="s">
        <v>58</v>
      </c>
      <c r="K37" s="23" t="s">
        <v>59</v>
      </c>
    </row>
    <row r="38" spans="1:11" x14ac:dyDescent="0.35">
      <c r="A38" s="7" t="s">
        <v>17</v>
      </c>
      <c r="B38" s="7" t="s">
        <v>17</v>
      </c>
      <c r="C38" s="15" t="s">
        <v>60</v>
      </c>
      <c r="D38" s="7">
        <v>2</v>
      </c>
      <c r="E38" s="7" t="s">
        <v>19</v>
      </c>
      <c r="F38" s="3"/>
      <c r="G38" s="3"/>
      <c r="H38" s="3">
        <v>6</v>
      </c>
      <c r="I38" s="4"/>
      <c r="J38" s="7" t="s">
        <v>58</v>
      </c>
      <c r="K38" s="23"/>
    </row>
    <row r="39" spans="1:11" x14ac:dyDescent="0.35">
      <c r="A39" s="7" t="s">
        <v>17</v>
      </c>
      <c r="B39" s="7" t="s">
        <v>17</v>
      </c>
      <c r="C39" s="15" t="s">
        <v>61</v>
      </c>
      <c r="D39" s="7">
        <v>3</v>
      </c>
      <c r="E39" s="7" t="s">
        <v>21</v>
      </c>
      <c r="F39" s="3"/>
      <c r="G39" s="3"/>
      <c r="H39" s="3"/>
      <c r="I39" s="4">
        <v>8</v>
      </c>
      <c r="J39" s="7" t="s">
        <v>58</v>
      </c>
      <c r="K39" s="23"/>
    </row>
    <row r="40" spans="1:11" x14ac:dyDescent="0.35">
      <c r="A40" s="7" t="s">
        <v>17</v>
      </c>
      <c r="B40" s="7" t="s">
        <v>17</v>
      </c>
      <c r="C40" s="15" t="s">
        <v>62</v>
      </c>
      <c r="D40" s="7">
        <v>4</v>
      </c>
      <c r="E40" s="7" t="s">
        <v>23</v>
      </c>
      <c r="F40" s="3"/>
      <c r="G40" s="3"/>
      <c r="H40" s="3">
        <v>6</v>
      </c>
      <c r="I40" s="4"/>
      <c r="J40" s="7" t="s">
        <v>58</v>
      </c>
      <c r="K40" s="23"/>
    </row>
    <row r="41" spans="1:11" x14ac:dyDescent="0.35">
      <c r="A41" s="7" t="s">
        <v>17</v>
      </c>
      <c r="B41" s="7" t="s">
        <v>17</v>
      </c>
      <c r="C41" s="13"/>
      <c r="D41" s="7">
        <v>5</v>
      </c>
      <c r="E41" s="7" t="s">
        <v>25</v>
      </c>
      <c r="F41" s="3"/>
      <c r="G41" s="3"/>
      <c r="H41" s="3">
        <v>6</v>
      </c>
      <c r="I41" s="4"/>
      <c r="J41" s="7"/>
      <c r="K41" s="23"/>
    </row>
    <row r="42" spans="1:11" x14ac:dyDescent="0.35">
      <c r="A42" s="7" t="s">
        <v>17</v>
      </c>
      <c r="B42" s="7" t="s">
        <v>17</v>
      </c>
      <c r="C42" s="13"/>
      <c r="D42" s="7" t="s">
        <v>17</v>
      </c>
      <c r="E42" s="14" t="s">
        <v>26</v>
      </c>
      <c r="F42" s="3"/>
      <c r="G42" s="3"/>
      <c r="H42" s="3"/>
      <c r="I42" s="21">
        <f>SUM(F37:I41)</f>
        <v>34</v>
      </c>
      <c r="J42" s="7"/>
      <c r="K42" s="23"/>
    </row>
    <row r="43" spans="1:11" x14ac:dyDescent="0.35">
      <c r="A43" s="8" t="s">
        <v>0</v>
      </c>
      <c r="B43" s="8" t="s">
        <v>1</v>
      </c>
      <c r="C43" s="8" t="s">
        <v>2</v>
      </c>
      <c r="D43" s="8" t="s">
        <v>3</v>
      </c>
      <c r="E43" s="8" t="s">
        <v>4</v>
      </c>
      <c r="F43" s="5" t="s">
        <v>5</v>
      </c>
      <c r="G43" s="5" t="s">
        <v>6</v>
      </c>
      <c r="H43" s="5" t="s">
        <v>7</v>
      </c>
      <c r="I43" s="6" t="s">
        <v>8</v>
      </c>
      <c r="J43" s="10" t="s">
        <v>9</v>
      </c>
      <c r="K43" s="11" t="s">
        <v>10</v>
      </c>
    </row>
    <row r="44" spans="1:11" x14ac:dyDescent="0.35">
      <c r="A44" s="9" t="s">
        <v>63</v>
      </c>
      <c r="B44" s="12" t="s">
        <v>12</v>
      </c>
      <c r="C44" s="15" t="s">
        <v>64</v>
      </c>
      <c r="D44" s="7">
        <v>1</v>
      </c>
      <c r="E44" s="7" t="s">
        <v>14</v>
      </c>
      <c r="F44" s="3"/>
      <c r="G44" s="3"/>
      <c r="H44" s="3"/>
      <c r="I44" s="4">
        <v>8</v>
      </c>
      <c r="J44" s="7" t="s">
        <v>36</v>
      </c>
      <c r="K44" s="22" t="s">
        <v>65</v>
      </c>
    </row>
    <row r="45" spans="1:11" x14ac:dyDescent="0.35">
      <c r="A45" s="7" t="s">
        <v>17</v>
      </c>
      <c r="B45" s="7" t="s">
        <v>17</v>
      </c>
      <c r="C45" s="15" t="s">
        <v>66</v>
      </c>
      <c r="D45" s="7">
        <v>2</v>
      </c>
      <c r="E45" s="7" t="s">
        <v>19</v>
      </c>
      <c r="F45" s="3"/>
      <c r="G45" s="3"/>
      <c r="H45" s="3"/>
      <c r="I45" s="4">
        <v>8</v>
      </c>
      <c r="J45" s="7" t="s">
        <v>36</v>
      </c>
      <c r="K45" s="22"/>
    </row>
    <row r="46" spans="1:11" x14ac:dyDescent="0.35">
      <c r="A46" s="7" t="s">
        <v>17</v>
      </c>
      <c r="B46" s="7" t="s">
        <v>17</v>
      </c>
      <c r="C46" s="15" t="s">
        <v>67</v>
      </c>
      <c r="D46" s="7">
        <v>3</v>
      </c>
      <c r="E46" s="7" t="s">
        <v>21</v>
      </c>
      <c r="F46" s="3"/>
      <c r="G46" s="3"/>
      <c r="H46" s="3">
        <v>6</v>
      </c>
      <c r="I46" s="4"/>
      <c r="J46" s="7" t="s">
        <v>36</v>
      </c>
      <c r="K46" s="22"/>
    </row>
    <row r="47" spans="1:11" x14ac:dyDescent="0.35">
      <c r="A47" s="7" t="s">
        <v>17</v>
      </c>
      <c r="B47" s="7" t="s">
        <v>17</v>
      </c>
      <c r="C47" s="15" t="s">
        <v>68</v>
      </c>
      <c r="D47" s="7">
        <v>4</v>
      </c>
      <c r="E47" s="7" t="s">
        <v>23</v>
      </c>
      <c r="F47" s="3"/>
      <c r="G47" s="3"/>
      <c r="H47" s="3">
        <v>6</v>
      </c>
      <c r="I47" s="4"/>
      <c r="J47" s="7" t="s">
        <v>36</v>
      </c>
      <c r="K47" s="22"/>
    </row>
    <row r="48" spans="1:11" x14ac:dyDescent="0.35">
      <c r="A48" s="7" t="s">
        <v>17</v>
      </c>
      <c r="B48" s="7" t="s">
        <v>17</v>
      </c>
      <c r="C48" s="13"/>
      <c r="D48" s="7">
        <v>5</v>
      </c>
      <c r="E48" s="7" t="s">
        <v>25</v>
      </c>
      <c r="F48" s="3"/>
      <c r="G48" s="3"/>
      <c r="H48" s="3">
        <v>6</v>
      </c>
      <c r="I48" s="4"/>
      <c r="J48" s="7"/>
      <c r="K48" s="22"/>
    </row>
    <row r="49" spans="1:11" x14ac:dyDescent="0.35">
      <c r="A49" s="7" t="s">
        <v>17</v>
      </c>
      <c r="B49" s="7" t="s">
        <v>17</v>
      </c>
      <c r="C49" s="13"/>
      <c r="D49" s="7" t="s">
        <v>17</v>
      </c>
      <c r="E49" s="14" t="s">
        <v>26</v>
      </c>
      <c r="F49" s="3"/>
      <c r="G49" s="3"/>
      <c r="H49" s="3" t="s">
        <v>167</v>
      </c>
      <c r="I49" s="21">
        <f>SUM(F44:I48)</f>
        <v>34</v>
      </c>
      <c r="J49" s="7"/>
      <c r="K49" s="22"/>
    </row>
    <row r="50" spans="1:11" x14ac:dyDescent="0.35">
      <c r="A50" s="8" t="s">
        <v>0</v>
      </c>
      <c r="B50" s="8" t="s">
        <v>1</v>
      </c>
      <c r="C50" s="8" t="s">
        <v>2</v>
      </c>
      <c r="D50" s="8" t="s">
        <v>3</v>
      </c>
      <c r="E50" s="8" t="s">
        <v>4</v>
      </c>
      <c r="F50" s="5" t="s">
        <v>5</v>
      </c>
      <c r="G50" s="5" t="s">
        <v>6</v>
      </c>
      <c r="H50" s="5" t="s">
        <v>7</v>
      </c>
      <c r="I50" s="6" t="s">
        <v>8</v>
      </c>
      <c r="J50" s="10" t="s">
        <v>9</v>
      </c>
      <c r="K50" s="11" t="s">
        <v>10</v>
      </c>
    </row>
    <row r="51" spans="1:11" x14ac:dyDescent="0.35">
      <c r="A51" s="9" t="s">
        <v>69</v>
      </c>
      <c r="B51" s="12" t="s">
        <v>12</v>
      </c>
      <c r="C51" s="15" t="s">
        <v>70</v>
      </c>
      <c r="D51" s="7">
        <v>1</v>
      </c>
      <c r="E51" s="7" t="s">
        <v>14</v>
      </c>
      <c r="F51" s="3"/>
      <c r="G51" s="3"/>
      <c r="H51" s="3"/>
      <c r="I51" s="4">
        <v>8</v>
      </c>
      <c r="J51" s="7" t="s">
        <v>71</v>
      </c>
      <c r="K51" s="23" t="s">
        <v>72</v>
      </c>
    </row>
    <row r="52" spans="1:11" x14ac:dyDescent="0.35">
      <c r="A52" s="7" t="s">
        <v>17</v>
      </c>
      <c r="B52" s="7" t="s">
        <v>17</v>
      </c>
      <c r="C52" s="15" t="s">
        <v>73</v>
      </c>
      <c r="D52" s="7">
        <v>2</v>
      </c>
      <c r="E52" s="7" t="s">
        <v>19</v>
      </c>
      <c r="F52" s="3"/>
      <c r="G52" s="3"/>
      <c r="H52" s="3">
        <v>6</v>
      </c>
      <c r="I52" s="4"/>
      <c r="J52" s="7" t="s">
        <v>71</v>
      </c>
      <c r="K52" s="23"/>
    </row>
    <row r="53" spans="1:11" x14ac:dyDescent="0.35">
      <c r="A53" s="7" t="s">
        <v>17</v>
      </c>
      <c r="B53" s="7" t="s">
        <v>17</v>
      </c>
      <c r="C53" s="15" t="s">
        <v>74</v>
      </c>
      <c r="D53" s="7">
        <v>3</v>
      </c>
      <c r="E53" s="7" t="s">
        <v>21</v>
      </c>
      <c r="F53" s="3"/>
      <c r="G53" s="3"/>
      <c r="H53" s="3">
        <v>6</v>
      </c>
      <c r="I53" s="4"/>
      <c r="J53" s="7" t="s">
        <v>71</v>
      </c>
      <c r="K53" s="23"/>
    </row>
    <row r="54" spans="1:11" x14ac:dyDescent="0.35">
      <c r="A54" s="7" t="s">
        <v>17</v>
      </c>
      <c r="B54" s="7" t="s">
        <v>17</v>
      </c>
      <c r="C54" s="13"/>
      <c r="D54" s="7">
        <v>4</v>
      </c>
      <c r="E54" s="7" t="s">
        <v>23</v>
      </c>
      <c r="F54" s="3"/>
      <c r="G54" s="3"/>
      <c r="H54" s="3">
        <v>6</v>
      </c>
      <c r="I54" s="4"/>
      <c r="J54" s="7"/>
      <c r="K54" s="23"/>
    </row>
    <row r="55" spans="1:11" x14ac:dyDescent="0.35">
      <c r="A55" s="7" t="s">
        <v>17</v>
      </c>
      <c r="B55" s="7" t="s">
        <v>17</v>
      </c>
      <c r="C55" s="13"/>
      <c r="D55" s="7">
        <v>5</v>
      </c>
      <c r="E55" s="7" t="s">
        <v>25</v>
      </c>
      <c r="F55" s="3"/>
      <c r="G55" s="3"/>
      <c r="H55" s="3">
        <v>6</v>
      </c>
      <c r="I55" s="4"/>
      <c r="J55" s="7"/>
      <c r="K55" s="23"/>
    </row>
    <row r="56" spans="1:11" x14ac:dyDescent="0.35">
      <c r="A56" s="7" t="s">
        <v>17</v>
      </c>
      <c r="B56" s="7" t="s">
        <v>17</v>
      </c>
      <c r="C56" s="13"/>
      <c r="D56" s="7" t="s">
        <v>17</v>
      </c>
      <c r="E56" s="14" t="s">
        <v>26</v>
      </c>
      <c r="F56" s="3"/>
      <c r="G56" s="3" t="s">
        <v>167</v>
      </c>
      <c r="H56" s="3"/>
      <c r="I56" s="21">
        <f>SUM(F51:I55)</f>
        <v>32</v>
      </c>
      <c r="J56" s="7"/>
      <c r="K56" s="23"/>
    </row>
    <row r="57" spans="1:11" x14ac:dyDescent="0.35">
      <c r="A57" s="8" t="s">
        <v>0</v>
      </c>
      <c r="B57" s="8" t="s">
        <v>1</v>
      </c>
      <c r="C57" s="8" t="s">
        <v>2</v>
      </c>
      <c r="D57" s="8" t="s">
        <v>3</v>
      </c>
      <c r="E57" s="8" t="s">
        <v>4</v>
      </c>
      <c r="F57" s="5" t="s">
        <v>5</v>
      </c>
      <c r="G57" s="5" t="s">
        <v>6</v>
      </c>
      <c r="H57" s="5" t="s">
        <v>7</v>
      </c>
      <c r="I57" s="6" t="s">
        <v>8</v>
      </c>
      <c r="J57" s="10" t="s">
        <v>9</v>
      </c>
      <c r="K57" s="11" t="s">
        <v>10</v>
      </c>
    </row>
    <row r="58" spans="1:11" x14ac:dyDescent="0.35">
      <c r="A58" s="9" t="s">
        <v>75</v>
      </c>
      <c r="B58" s="12" t="s">
        <v>76</v>
      </c>
      <c r="C58" s="15" t="s">
        <v>77</v>
      </c>
      <c r="D58" s="7">
        <v>1</v>
      </c>
      <c r="E58" s="7" t="s">
        <v>14</v>
      </c>
      <c r="F58" s="3"/>
      <c r="G58" s="3"/>
      <c r="H58" s="3"/>
      <c r="I58" s="4">
        <v>8</v>
      </c>
      <c r="J58" s="7" t="s">
        <v>78</v>
      </c>
      <c r="K58" s="28" t="s">
        <v>79</v>
      </c>
    </row>
    <row r="59" spans="1:11" x14ac:dyDescent="0.35">
      <c r="A59" s="7" t="s">
        <v>17</v>
      </c>
      <c r="B59" s="7" t="s">
        <v>17</v>
      </c>
      <c r="C59" s="15" t="s">
        <v>80</v>
      </c>
      <c r="D59" s="7">
        <v>2</v>
      </c>
      <c r="E59" s="7" t="s">
        <v>19</v>
      </c>
      <c r="F59" s="3"/>
      <c r="G59" s="3"/>
      <c r="H59" s="3"/>
      <c r="I59" s="4">
        <v>8</v>
      </c>
      <c r="J59" s="7" t="s">
        <v>81</v>
      </c>
      <c r="K59" s="29"/>
    </row>
    <row r="60" spans="1:11" x14ac:dyDescent="0.35">
      <c r="A60" s="7" t="s">
        <v>17</v>
      </c>
      <c r="B60" s="7" t="s">
        <v>17</v>
      </c>
      <c r="C60" s="15" t="s">
        <v>82</v>
      </c>
      <c r="D60" s="7">
        <v>3</v>
      </c>
      <c r="E60" s="7" t="s">
        <v>21</v>
      </c>
      <c r="F60" s="3"/>
      <c r="G60" s="3"/>
      <c r="H60" s="3"/>
      <c r="I60" s="4">
        <v>8</v>
      </c>
      <c r="J60" s="7" t="s">
        <v>83</v>
      </c>
      <c r="K60" s="29"/>
    </row>
    <row r="61" spans="1:11" x14ac:dyDescent="0.35">
      <c r="A61" s="7" t="s">
        <v>17</v>
      </c>
      <c r="B61" s="7" t="s">
        <v>17</v>
      </c>
      <c r="C61" s="15" t="s">
        <v>84</v>
      </c>
      <c r="D61" s="7">
        <v>4</v>
      </c>
      <c r="E61" s="7" t="s">
        <v>23</v>
      </c>
      <c r="F61" s="3"/>
      <c r="G61" s="3"/>
      <c r="H61" s="3">
        <v>6</v>
      </c>
      <c r="I61" s="4"/>
      <c r="J61" s="7" t="s">
        <v>81</v>
      </c>
      <c r="K61" s="29"/>
    </row>
    <row r="62" spans="1:11" x14ac:dyDescent="0.35">
      <c r="A62" s="7" t="s">
        <v>17</v>
      </c>
      <c r="B62" s="7" t="s">
        <v>17</v>
      </c>
      <c r="C62" s="15" t="s">
        <v>85</v>
      </c>
      <c r="D62" s="7">
        <v>5</v>
      </c>
      <c r="E62" s="7" t="s">
        <v>25</v>
      </c>
      <c r="F62" s="3"/>
      <c r="G62" s="3">
        <v>4</v>
      </c>
      <c r="H62" s="3"/>
      <c r="I62" s="4"/>
      <c r="J62" s="7" t="s">
        <v>86</v>
      </c>
      <c r="K62" s="29"/>
    </row>
    <row r="63" spans="1:11" x14ac:dyDescent="0.35">
      <c r="A63" s="7" t="s">
        <v>17</v>
      </c>
      <c r="B63" s="7" t="s">
        <v>17</v>
      </c>
      <c r="C63" s="13"/>
      <c r="D63" s="7" t="s">
        <v>17</v>
      </c>
      <c r="E63" s="14" t="s">
        <v>26</v>
      </c>
      <c r="F63" s="3"/>
      <c r="G63" s="3" t="s">
        <v>167</v>
      </c>
      <c r="H63" s="3"/>
      <c r="I63" s="21">
        <f>SUM(F58:I62)</f>
        <v>34</v>
      </c>
      <c r="J63" s="7"/>
      <c r="K63" s="30"/>
    </row>
    <row r="64" spans="1:11" x14ac:dyDescent="0.35">
      <c r="A64" s="8" t="s">
        <v>0</v>
      </c>
      <c r="B64" s="8" t="s">
        <v>1</v>
      </c>
      <c r="C64" s="8" t="s">
        <v>2</v>
      </c>
      <c r="D64" s="8" t="s">
        <v>3</v>
      </c>
      <c r="E64" s="8" t="s">
        <v>4</v>
      </c>
      <c r="F64" s="5" t="s">
        <v>5</v>
      </c>
      <c r="G64" s="5" t="s">
        <v>6</v>
      </c>
      <c r="H64" s="5" t="s">
        <v>7</v>
      </c>
      <c r="I64" s="6" t="s">
        <v>8</v>
      </c>
      <c r="J64" s="10" t="s">
        <v>9</v>
      </c>
      <c r="K64" s="11" t="s">
        <v>10</v>
      </c>
    </row>
    <row r="65" spans="1:11" x14ac:dyDescent="0.35">
      <c r="A65" s="9" t="s">
        <v>87</v>
      </c>
      <c r="B65" s="12" t="s">
        <v>76</v>
      </c>
      <c r="C65" s="15" t="s">
        <v>88</v>
      </c>
      <c r="D65" s="7">
        <v>1</v>
      </c>
      <c r="E65" s="7" t="s">
        <v>14</v>
      </c>
      <c r="F65" s="3"/>
      <c r="G65" s="3"/>
      <c r="H65" s="3"/>
      <c r="I65" s="4">
        <v>8</v>
      </c>
      <c r="J65" s="16" t="s">
        <v>89</v>
      </c>
      <c r="K65" s="31" t="s">
        <v>90</v>
      </c>
    </row>
    <row r="66" spans="1:11" x14ac:dyDescent="0.35">
      <c r="A66" s="7" t="s">
        <v>17</v>
      </c>
      <c r="B66" s="7" t="s">
        <v>17</v>
      </c>
      <c r="C66" s="15" t="s">
        <v>91</v>
      </c>
      <c r="D66" s="7">
        <v>2</v>
      </c>
      <c r="E66" s="7" t="s">
        <v>19</v>
      </c>
      <c r="F66" s="3"/>
      <c r="G66" s="3"/>
      <c r="H66" s="3">
        <v>6</v>
      </c>
      <c r="I66" s="4"/>
      <c r="J66" s="7" t="s">
        <v>92</v>
      </c>
      <c r="K66" s="32"/>
    </row>
    <row r="67" spans="1:11" x14ac:dyDescent="0.35">
      <c r="A67" s="7" t="s">
        <v>17</v>
      </c>
      <c r="B67" s="7" t="s">
        <v>17</v>
      </c>
      <c r="C67" s="15" t="s">
        <v>93</v>
      </c>
      <c r="D67" s="7">
        <v>3</v>
      </c>
      <c r="E67" s="7" t="s">
        <v>21</v>
      </c>
      <c r="F67" s="3"/>
      <c r="G67" s="3">
        <v>4</v>
      </c>
      <c r="H67" s="3"/>
      <c r="I67" s="4"/>
      <c r="J67" s="7" t="s">
        <v>94</v>
      </c>
      <c r="K67" s="32"/>
    </row>
    <row r="68" spans="1:11" x14ac:dyDescent="0.35">
      <c r="A68" s="7" t="s">
        <v>17</v>
      </c>
      <c r="B68" s="7" t="s">
        <v>17</v>
      </c>
      <c r="C68" s="15" t="s">
        <v>95</v>
      </c>
      <c r="D68" s="7">
        <v>4</v>
      </c>
      <c r="E68" s="7" t="s">
        <v>23</v>
      </c>
      <c r="F68" s="3"/>
      <c r="G68" s="3">
        <v>4</v>
      </c>
      <c r="H68" s="3"/>
      <c r="I68" s="4"/>
      <c r="J68" s="7" t="s">
        <v>96</v>
      </c>
      <c r="K68" s="32"/>
    </row>
    <row r="69" spans="1:11" x14ac:dyDescent="0.35">
      <c r="A69" s="7" t="s">
        <v>17</v>
      </c>
      <c r="B69" s="7" t="s">
        <v>17</v>
      </c>
      <c r="C69" s="15" t="s">
        <v>97</v>
      </c>
      <c r="D69" s="7">
        <v>5</v>
      </c>
      <c r="E69" s="7" t="s">
        <v>25</v>
      </c>
      <c r="F69" s="3"/>
      <c r="G69" s="3"/>
      <c r="H69" s="3"/>
      <c r="I69" s="4">
        <v>8</v>
      </c>
      <c r="J69" s="7" t="s">
        <v>98</v>
      </c>
      <c r="K69" s="32"/>
    </row>
    <row r="70" spans="1:11" x14ac:dyDescent="0.35">
      <c r="A70" s="7" t="s">
        <v>17</v>
      </c>
      <c r="B70" s="7" t="s">
        <v>17</v>
      </c>
      <c r="C70" s="13"/>
      <c r="D70" s="7" t="s">
        <v>17</v>
      </c>
      <c r="E70" s="14" t="s">
        <v>26</v>
      </c>
      <c r="F70" s="3"/>
      <c r="G70" s="3" t="s">
        <v>167</v>
      </c>
      <c r="H70" s="3"/>
      <c r="I70" s="21">
        <f>SUM(F65:I69)</f>
        <v>30</v>
      </c>
      <c r="J70" s="7"/>
      <c r="K70" s="33"/>
    </row>
    <row r="71" spans="1:11" x14ac:dyDescent="0.35">
      <c r="A71" s="8" t="s">
        <v>0</v>
      </c>
      <c r="B71" s="8" t="s">
        <v>1</v>
      </c>
      <c r="C71" s="8" t="s">
        <v>2</v>
      </c>
      <c r="D71" s="8" t="s">
        <v>3</v>
      </c>
      <c r="E71" s="8" t="s">
        <v>4</v>
      </c>
      <c r="F71" s="5" t="s">
        <v>5</v>
      </c>
      <c r="G71" s="5" t="s">
        <v>6</v>
      </c>
      <c r="H71" s="5" t="s">
        <v>7</v>
      </c>
      <c r="I71" s="6" t="s">
        <v>8</v>
      </c>
      <c r="J71" s="10" t="s">
        <v>9</v>
      </c>
      <c r="K71" s="11" t="s">
        <v>10</v>
      </c>
    </row>
    <row r="72" spans="1:11" x14ac:dyDescent="0.35">
      <c r="A72" s="9" t="s">
        <v>99</v>
      </c>
      <c r="B72" s="12" t="s">
        <v>100</v>
      </c>
      <c r="C72" s="15" t="s">
        <v>101</v>
      </c>
      <c r="D72" s="7">
        <v>1</v>
      </c>
      <c r="E72" s="7" t="s">
        <v>14</v>
      </c>
      <c r="F72" s="3"/>
      <c r="G72" s="3"/>
      <c r="H72" s="20" t="s">
        <v>17</v>
      </c>
      <c r="I72" s="20">
        <v>8</v>
      </c>
      <c r="J72" s="7" t="s">
        <v>102</v>
      </c>
      <c r="K72" s="22" t="s">
        <v>103</v>
      </c>
    </row>
    <row r="73" spans="1:11" x14ac:dyDescent="0.35">
      <c r="A73" s="7" t="s">
        <v>17</v>
      </c>
      <c r="B73" s="7" t="s">
        <v>17</v>
      </c>
      <c r="C73" s="15" t="s">
        <v>104</v>
      </c>
      <c r="D73" s="7">
        <v>2</v>
      </c>
      <c r="E73" s="7" t="s">
        <v>19</v>
      </c>
      <c r="F73" s="3"/>
      <c r="G73" s="3"/>
      <c r="H73" s="20" t="s">
        <v>17</v>
      </c>
      <c r="I73" s="20">
        <v>8</v>
      </c>
      <c r="J73" s="7" t="s">
        <v>105</v>
      </c>
      <c r="K73" s="22"/>
    </row>
    <row r="74" spans="1:11" x14ac:dyDescent="0.35">
      <c r="A74" s="7" t="s">
        <v>17</v>
      </c>
      <c r="B74" s="7" t="s">
        <v>17</v>
      </c>
      <c r="C74" s="15" t="s">
        <v>106</v>
      </c>
      <c r="D74" s="7">
        <v>3</v>
      </c>
      <c r="E74" s="7" t="s">
        <v>21</v>
      </c>
      <c r="F74" s="3"/>
      <c r="G74" s="3"/>
      <c r="H74" s="20">
        <v>6</v>
      </c>
      <c r="I74" s="20" t="s">
        <v>17</v>
      </c>
      <c r="J74" s="7" t="s">
        <v>107</v>
      </c>
      <c r="K74" s="22"/>
    </row>
    <row r="75" spans="1:11" x14ac:dyDescent="0.35">
      <c r="A75" s="7" t="s">
        <v>17</v>
      </c>
      <c r="B75" s="7" t="s">
        <v>17</v>
      </c>
      <c r="C75" s="15" t="s">
        <v>108</v>
      </c>
      <c r="D75" s="7">
        <v>4</v>
      </c>
      <c r="E75" s="7" t="s">
        <v>23</v>
      </c>
      <c r="F75" s="3"/>
      <c r="G75" s="3"/>
      <c r="H75" s="20" t="s">
        <v>17</v>
      </c>
      <c r="I75" s="20">
        <v>8</v>
      </c>
      <c r="J75" s="7" t="s">
        <v>109</v>
      </c>
      <c r="K75" s="22"/>
    </row>
    <row r="76" spans="1:11" ht="15" thickBot="1" x14ac:dyDescent="0.4">
      <c r="A76" s="7" t="s">
        <v>17</v>
      </c>
      <c r="B76" s="7" t="s">
        <v>17</v>
      </c>
      <c r="C76" s="15" t="s">
        <v>110</v>
      </c>
      <c r="D76" s="7">
        <v>5</v>
      </c>
      <c r="E76" s="7" t="s">
        <v>25</v>
      </c>
      <c r="F76" s="3"/>
      <c r="G76" s="3"/>
      <c r="H76" s="20">
        <v>6</v>
      </c>
      <c r="I76" s="20" t="s">
        <v>17</v>
      </c>
      <c r="J76" s="7" t="s">
        <v>111</v>
      </c>
      <c r="K76" s="22"/>
    </row>
    <row r="77" spans="1:11" ht="15" thickBot="1" x14ac:dyDescent="0.4">
      <c r="A77" s="7" t="s">
        <v>17</v>
      </c>
      <c r="B77" s="7" t="s">
        <v>17</v>
      </c>
      <c r="C77" s="13"/>
      <c r="D77" s="7" t="s">
        <v>17</v>
      </c>
      <c r="E77" s="14" t="s">
        <v>26</v>
      </c>
      <c r="F77" s="3"/>
      <c r="G77" s="3"/>
      <c r="H77" s="20" t="s">
        <v>17</v>
      </c>
      <c r="I77" s="21">
        <f>SUM(F72:I76)</f>
        <v>36</v>
      </c>
      <c r="J77" s="7"/>
      <c r="K77" s="22"/>
    </row>
    <row r="78" spans="1:11" x14ac:dyDescent="0.35">
      <c r="A78" s="8" t="s">
        <v>0</v>
      </c>
      <c r="B78" s="8" t="s">
        <v>1</v>
      </c>
      <c r="C78" s="8" t="s">
        <v>2</v>
      </c>
      <c r="D78" s="8" t="s">
        <v>3</v>
      </c>
      <c r="E78" s="8" t="s">
        <v>4</v>
      </c>
      <c r="F78" s="5" t="s">
        <v>5</v>
      </c>
      <c r="G78" s="5" t="s">
        <v>6</v>
      </c>
      <c r="H78" s="5" t="s">
        <v>7</v>
      </c>
      <c r="I78" s="6" t="s">
        <v>8</v>
      </c>
      <c r="J78" s="10" t="s">
        <v>9</v>
      </c>
      <c r="K78" s="11" t="s">
        <v>10</v>
      </c>
    </row>
    <row r="79" spans="1:11" x14ac:dyDescent="0.35">
      <c r="A79" s="9" t="s">
        <v>112</v>
      </c>
      <c r="B79" s="12" t="s">
        <v>100</v>
      </c>
      <c r="C79" s="15" t="s">
        <v>113</v>
      </c>
      <c r="D79" s="7">
        <v>1</v>
      </c>
      <c r="E79" s="7" t="s">
        <v>14</v>
      </c>
      <c r="F79" s="3"/>
      <c r="G79" s="3"/>
      <c r="H79" s="20" t="s">
        <v>17</v>
      </c>
      <c r="I79" s="20">
        <v>8</v>
      </c>
      <c r="J79" s="7" t="s">
        <v>114</v>
      </c>
      <c r="K79" s="22" t="s">
        <v>103</v>
      </c>
    </row>
    <row r="80" spans="1:11" x14ac:dyDescent="0.35">
      <c r="A80" s="7" t="s">
        <v>17</v>
      </c>
      <c r="B80" s="7" t="s">
        <v>17</v>
      </c>
      <c r="C80" s="15" t="s">
        <v>115</v>
      </c>
      <c r="D80" s="7">
        <v>2</v>
      </c>
      <c r="E80" s="7" t="s">
        <v>19</v>
      </c>
      <c r="F80" s="3"/>
      <c r="G80" s="3"/>
      <c r="H80" s="20" t="s">
        <v>17</v>
      </c>
      <c r="I80" s="20">
        <v>8</v>
      </c>
      <c r="J80" s="7" t="s">
        <v>116</v>
      </c>
      <c r="K80" s="22"/>
    </row>
    <row r="81" spans="1:11" x14ac:dyDescent="0.35">
      <c r="A81" s="7" t="s">
        <v>17</v>
      </c>
      <c r="B81" s="7" t="s">
        <v>17</v>
      </c>
      <c r="C81" s="15" t="s">
        <v>117</v>
      </c>
      <c r="D81" s="7">
        <v>3</v>
      </c>
      <c r="E81" s="7" t="s">
        <v>21</v>
      </c>
      <c r="F81" s="3"/>
      <c r="G81" s="3"/>
      <c r="H81" s="20">
        <v>6</v>
      </c>
      <c r="I81" s="20" t="s">
        <v>17</v>
      </c>
      <c r="J81" s="7" t="s">
        <v>118</v>
      </c>
      <c r="K81" s="22"/>
    </row>
    <row r="82" spans="1:11" x14ac:dyDescent="0.35">
      <c r="A82" s="7" t="s">
        <v>17</v>
      </c>
      <c r="B82" s="7" t="s">
        <v>17</v>
      </c>
      <c r="C82" s="15" t="s">
        <v>119</v>
      </c>
      <c r="D82" s="7">
        <v>4</v>
      </c>
      <c r="E82" s="7" t="s">
        <v>23</v>
      </c>
      <c r="F82" s="3"/>
      <c r="G82" s="3"/>
      <c r="H82" s="20" t="s">
        <v>17</v>
      </c>
      <c r="I82" s="20">
        <v>8</v>
      </c>
      <c r="J82" s="7" t="s">
        <v>120</v>
      </c>
      <c r="K82" s="22"/>
    </row>
    <row r="83" spans="1:11" ht="15" thickBot="1" x14ac:dyDescent="0.4">
      <c r="A83" s="7" t="s">
        <v>17</v>
      </c>
      <c r="B83" s="7" t="s">
        <v>17</v>
      </c>
      <c r="C83" s="15" t="s">
        <v>121</v>
      </c>
      <c r="D83" s="7">
        <v>5</v>
      </c>
      <c r="E83" s="7" t="s">
        <v>25</v>
      </c>
      <c r="F83" s="3"/>
      <c r="G83" s="3"/>
      <c r="H83" s="20">
        <v>6</v>
      </c>
      <c r="I83" s="20" t="s">
        <v>17</v>
      </c>
      <c r="J83" s="7" t="s">
        <v>122</v>
      </c>
      <c r="K83" s="22"/>
    </row>
    <row r="84" spans="1:11" ht="15" thickBot="1" x14ac:dyDescent="0.4">
      <c r="A84" s="7" t="s">
        <v>17</v>
      </c>
      <c r="B84" s="7" t="s">
        <v>17</v>
      </c>
      <c r="C84" s="13"/>
      <c r="D84" s="7" t="s">
        <v>17</v>
      </c>
      <c r="E84" s="14" t="s">
        <v>26</v>
      </c>
      <c r="F84" s="3"/>
      <c r="G84" s="3"/>
      <c r="H84" s="20" t="s">
        <v>17</v>
      </c>
      <c r="I84" s="21">
        <f>SUM(F79:I83)</f>
        <v>36</v>
      </c>
      <c r="J84" s="7"/>
      <c r="K84" s="22"/>
    </row>
    <row r="85" spans="1:11" x14ac:dyDescent="0.35">
      <c r="A85" s="8" t="s">
        <v>0</v>
      </c>
      <c r="B85" s="8" t="s">
        <v>1</v>
      </c>
      <c r="C85" s="8" t="s">
        <v>2</v>
      </c>
      <c r="D85" s="8" t="s">
        <v>3</v>
      </c>
      <c r="E85" s="8" t="s">
        <v>4</v>
      </c>
      <c r="F85" s="5" t="s">
        <v>5</v>
      </c>
      <c r="G85" s="5" t="s">
        <v>6</v>
      </c>
      <c r="H85" s="5" t="s">
        <v>7</v>
      </c>
      <c r="I85" s="6" t="s">
        <v>8</v>
      </c>
      <c r="J85" s="10" t="s">
        <v>9</v>
      </c>
      <c r="K85" s="11" t="s">
        <v>10</v>
      </c>
    </row>
    <row r="86" spans="1:11" x14ac:dyDescent="0.35">
      <c r="A86" s="9" t="s">
        <v>123</v>
      </c>
      <c r="B86" s="12" t="s">
        <v>100</v>
      </c>
      <c r="C86" s="15" t="s">
        <v>124</v>
      </c>
      <c r="D86" s="7">
        <v>1</v>
      </c>
      <c r="E86" s="7" t="s">
        <v>14</v>
      </c>
      <c r="F86" s="3"/>
      <c r="G86" s="3"/>
      <c r="H86" s="20" t="s">
        <v>17</v>
      </c>
      <c r="I86" s="20">
        <v>8</v>
      </c>
      <c r="J86" s="7" t="s">
        <v>125</v>
      </c>
      <c r="K86" s="22" t="s">
        <v>126</v>
      </c>
    </row>
    <row r="87" spans="1:11" x14ac:dyDescent="0.35">
      <c r="A87" s="7" t="s">
        <v>17</v>
      </c>
      <c r="B87" s="7" t="s">
        <v>17</v>
      </c>
      <c r="C87" s="15" t="s">
        <v>127</v>
      </c>
      <c r="D87" s="7">
        <v>2</v>
      </c>
      <c r="E87" s="7" t="s">
        <v>19</v>
      </c>
      <c r="F87" s="3"/>
      <c r="G87" s="3"/>
      <c r="H87" s="20" t="s">
        <v>17</v>
      </c>
      <c r="I87" s="20">
        <v>8</v>
      </c>
      <c r="J87" s="7" t="s">
        <v>128</v>
      </c>
      <c r="K87" s="22"/>
    </row>
    <row r="88" spans="1:11" x14ac:dyDescent="0.35">
      <c r="A88" s="7" t="s">
        <v>17</v>
      </c>
      <c r="B88" s="7" t="s">
        <v>17</v>
      </c>
      <c r="C88" s="15" t="s">
        <v>129</v>
      </c>
      <c r="D88" s="7">
        <v>3</v>
      </c>
      <c r="E88" s="7" t="s">
        <v>21</v>
      </c>
      <c r="F88" s="3"/>
      <c r="G88" s="3"/>
      <c r="H88" s="20" t="s">
        <v>17</v>
      </c>
      <c r="I88" s="20">
        <v>8</v>
      </c>
      <c r="J88" s="7" t="s">
        <v>130</v>
      </c>
      <c r="K88" s="22"/>
    </row>
    <row r="89" spans="1:11" x14ac:dyDescent="0.35">
      <c r="A89" s="7" t="s">
        <v>17</v>
      </c>
      <c r="B89" s="7" t="s">
        <v>17</v>
      </c>
      <c r="C89" s="15" t="s">
        <v>131</v>
      </c>
      <c r="D89" s="7">
        <v>4</v>
      </c>
      <c r="E89" s="7" t="s">
        <v>23</v>
      </c>
      <c r="F89" s="3"/>
      <c r="G89" s="3"/>
      <c r="H89" s="20">
        <v>6</v>
      </c>
      <c r="I89" s="20" t="s">
        <v>17</v>
      </c>
      <c r="J89" s="7" t="s">
        <v>130</v>
      </c>
      <c r="K89" s="22"/>
    </row>
    <row r="90" spans="1:11" ht="15" thickBot="1" x14ac:dyDescent="0.4">
      <c r="A90" s="7" t="s">
        <v>17</v>
      </c>
      <c r="B90" s="7" t="s">
        <v>17</v>
      </c>
      <c r="C90" s="13"/>
      <c r="D90" s="7">
        <v>5</v>
      </c>
      <c r="E90" s="7" t="s">
        <v>25</v>
      </c>
      <c r="F90" s="3"/>
      <c r="G90" s="3"/>
      <c r="H90" s="20">
        <v>6</v>
      </c>
      <c r="I90" s="20" t="s">
        <v>17</v>
      </c>
      <c r="J90" s="7"/>
      <c r="K90" s="22"/>
    </row>
    <row r="91" spans="1:11" ht="15" thickBot="1" x14ac:dyDescent="0.4">
      <c r="A91" s="7" t="s">
        <v>17</v>
      </c>
      <c r="B91" s="7" t="s">
        <v>17</v>
      </c>
      <c r="C91" s="13"/>
      <c r="D91" s="7" t="s">
        <v>17</v>
      </c>
      <c r="E91" s="14" t="s">
        <v>26</v>
      </c>
      <c r="F91" s="3"/>
      <c r="G91" s="3"/>
      <c r="H91" s="20" t="s">
        <v>17</v>
      </c>
      <c r="I91" s="21">
        <f>SUM(F86:I90)</f>
        <v>36</v>
      </c>
      <c r="J91" s="7"/>
      <c r="K91" s="22"/>
    </row>
    <row r="92" spans="1:11" x14ac:dyDescent="0.35">
      <c r="A92" s="8" t="s">
        <v>0</v>
      </c>
      <c r="B92" s="8" t="s">
        <v>1</v>
      </c>
      <c r="C92" s="8" t="s">
        <v>2</v>
      </c>
      <c r="D92" s="8" t="s">
        <v>3</v>
      </c>
      <c r="E92" s="8" t="s">
        <v>4</v>
      </c>
      <c r="F92" s="5" t="s">
        <v>5</v>
      </c>
      <c r="G92" s="5" t="s">
        <v>6</v>
      </c>
      <c r="H92" s="5" t="s">
        <v>7</v>
      </c>
      <c r="I92" s="6" t="s">
        <v>8</v>
      </c>
      <c r="J92" s="10" t="s">
        <v>9</v>
      </c>
      <c r="K92" s="11" t="s">
        <v>10</v>
      </c>
    </row>
    <row r="93" spans="1:11" x14ac:dyDescent="0.35">
      <c r="A93" s="9" t="s">
        <v>132</v>
      </c>
      <c r="B93" s="12" t="s">
        <v>100</v>
      </c>
      <c r="C93" s="15" t="s">
        <v>133</v>
      </c>
      <c r="D93" s="7">
        <v>1</v>
      </c>
      <c r="E93" s="7" t="s">
        <v>14</v>
      </c>
      <c r="F93" s="3"/>
      <c r="G93" s="3"/>
      <c r="H93" s="20" t="s">
        <v>17</v>
      </c>
      <c r="I93" s="20">
        <v>8</v>
      </c>
      <c r="J93" s="7" t="s">
        <v>134</v>
      </c>
      <c r="K93" s="22" t="s">
        <v>135</v>
      </c>
    </row>
    <row r="94" spans="1:11" x14ac:dyDescent="0.35">
      <c r="A94" s="7" t="s">
        <v>17</v>
      </c>
      <c r="B94" s="7" t="s">
        <v>17</v>
      </c>
      <c r="C94" s="15" t="s">
        <v>136</v>
      </c>
      <c r="D94" s="7">
        <v>2</v>
      </c>
      <c r="E94" s="7" t="s">
        <v>19</v>
      </c>
      <c r="F94" s="3"/>
      <c r="G94" s="3"/>
      <c r="H94" s="20" t="s">
        <v>17</v>
      </c>
      <c r="I94" s="20">
        <v>8</v>
      </c>
      <c r="J94" s="7" t="s">
        <v>137</v>
      </c>
      <c r="K94" s="22"/>
    </row>
    <row r="95" spans="1:11" x14ac:dyDescent="0.35">
      <c r="A95" s="7" t="s">
        <v>17</v>
      </c>
      <c r="B95" s="7" t="s">
        <v>17</v>
      </c>
      <c r="C95" s="15" t="s">
        <v>138</v>
      </c>
      <c r="D95" s="7">
        <v>3</v>
      </c>
      <c r="E95" s="7" t="s">
        <v>21</v>
      </c>
      <c r="F95" s="3"/>
      <c r="G95" s="3"/>
      <c r="H95" s="20" t="s">
        <v>17</v>
      </c>
      <c r="I95" s="20">
        <v>8</v>
      </c>
      <c r="J95" s="7" t="s">
        <v>139</v>
      </c>
      <c r="K95" s="22"/>
    </row>
    <row r="96" spans="1:11" x14ac:dyDescent="0.35">
      <c r="A96" s="7" t="s">
        <v>17</v>
      </c>
      <c r="B96" s="7" t="s">
        <v>17</v>
      </c>
      <c r="C96" s="15" t="s">
        <v>140</v>
      </c>
      <c r="D96" s="7">
        <v>4</v>
      </c>
      <c r="E96" s="7" t="s">
        <v>23</v>
      </c>
      <c r="F96" s="3"/>
      <c r="G96" s="3"/>
      <c r="H96" s="20" t="s">
        <v>17</v>
      </c>
      <c r="I96" s="20">
        <v>8</v>
      </c>
      <c r="J96" s="7" t="s">
        <v>130</v>
      </c>
      <c r="K96" s="22"/>
    </row>
    <row r="97" spans="1:11" ht="15" thickBot="1" x14ac:dyDescent="0.4">
      <c r="A97" s="7" t="s">
        <v>17</v>
      </c>
      <c r="B97" s="7" t="s">
        <v>17</v>
      </c>
      <c r="C97" s="13"/>
      <c r="D97" s="7">
        <v>5</v>
      </c>
      <c r="E97" s="7" t="s">
        <v>25</v>
      </c>
      <c r="F97" s="3"/>
      <c r="G97" s="3"/>
      <c r="H97" s="20">
        <v>6</v>
      </c>
      <c r="I97" s="20" t="s">
        <v>17</v>
      </c>
      <c r="J97" s="7"/>
      <c r="K97" s="22"/>
    </row>
    <row r="98" spans="1:11" ht="15" thickBot="1" x14ac:dyDescent="0.4">
      <c r="A98" s="7" t="s">
        <v>17</v>
      </c>
      <c r="B98" s="7" t="s">
        <v>17</v>
      </c>
      <c r="C98" s="13"/>
      <c r="D98" s="7" t="s">
        <v>17</v>
      </c>
      <c r="E98" s="14" t="s">
        <v>26</v>
      </c>
      <c r="F98" s="3"/>
      <c r="G98" s="3"/>
      <c r="H98" s="20" t="s">
        <v>17</v>
      </c>
      <c r="I98" s="21">
        <f>SUM(F93:I97)</f>
        <v>38</v>
      </c>
      <c r="J98" s="7"/>
      <c r="K98" s="22"/>
    </row>
    <row r="99" spans="1:11" x14ac:dyDescent="0.35">
      <c r="A99" s="8" t="s">
        <v>0</v>
      </c>
      <c r="B99" s="8" t="s">
        <v>1</v>
      </c>
      <c r="C99" s="8" t="s">
        <v>2</v>
      </c>
      <c r="D99" s="8" t="s">
        <v>3</v>
      </c>
      <c r="E99" s="8" t="s">
        <v>4</v>
      </c>
      <c r="F99" s="5" t="s">
        <v>5</v>
      </c>
      <c r="G99" s="5" t="s">
        <v>6</v>
      </c>
      <c r="H99" s="5" t="s">
        <v>7</v>
      </c>
      <c r="I99" s="6" t="s">
        <v>8</v>
      </c>
      <c r="J99" s="10" t="s">
        <v>9</v>
      </c>
      <c r="K99" s="11" t="s">
        <v>10</v>
      </c>
    </row>
    <row r="100" spans="1:11" ht="29" x14ac:dyDescent="0.35">
      <c r="A100" s="9" t="s">
        <v>141</v>
      </c>
      <c r="B100" s="12" t="s">
        <v>142</v>
      </c>
      <c r="C100" s="15" t="s">
        <v>143</v>
      </c>
      <c r="D100" s="7">
        <v>1</v>
      </c>
      <c r="E100" s="7" t="s">
        <v>14</v>
      </c>
      <c r="F100" s="3"/>
      <c r="G100" s="3"/>
      <c r="H100" s="3"/>
      <c r="I100" s="4">
        <v>8</v>
      </c>
      <c r="J100" s="18" t="s">
        <v>144</v>
      </c>
      <c r="K100" s="24" t="s">
        <v>145</v>
      </c>
    </row>
    <row r="101" spans="1:11" ht="29" x14ac:dyDescent="0.35">
      <c r="A101" s="7" t="s">
        <v>17</v>
      </c>
      <c r="B101" s="7" t="s">
        <v>17</v>
      </c>
      <c r="C101" s="15" t="s">
        <v>146</v>
      </c>
      <c r="D101" s="7">
        <v>2</v>
      </c>
      <c r="E101" s="7" t="s">
        <v>19</v>
      </c>
      <c r="F101" s="3"/>
      <c r="G101" s="3"/>
      <c r="H101" s="3">
        <v>6</v>
      </c>
      <c r="I101" s="4"/>
      <c r="J101" s="18" t="s">
        <v>147</v>
      </c>
      <c r="K101" s="24"/>
    </row>
    <row r="102" spans="1:11" ht="29" x14ac:dyDescent="0.35">
      <c r="A102" s="7" t="s">
        <v>17</v>
      </c>
      <c r="B102" s="7" t="s">
        <v>17</v>
      </c>
      <c r="C102" s="15" t="s">
        <v>148</v>
      </c>
      <c r="D102" s="7">
        <v>3</v>
      </c>
      <c r="E102" s="7" t="s">
        <v>21</v>
      </c>
      <c r="F102" s="3"/>
      <c r="G102" s="3">
        <v>4</v>
      </c>
      <c r="H102" s="3"/>
      <c r="I102" s="4"/>
      <c r="J102" s="19" t="s">
        <v>144</v>
      </c>
      <c r="K102" s="24"/>
    </row>
    <row r="103" spans="1:11" ht="29" x14ac:dyDescent="0.35">
      <c r="A103" s="7" t="s">
        <v>17</v>
      </c>
      <c r="B103" s="7" t="s">
        <v>17</v>
      </c>
      <c r="C103" s="15" t="s">
        <v>149</v>
      </c>
      <c r="D103" s="7">
        <v>4</v>
      </c>
      <c r="E103" s="7" t="s">
        <v>23</v>
      </c>
      <c r="F103" s="3"/>
      <c r="G103" s="3">
        <v>4</v>
      </c>
      <c r="H103" s="3"/>
      <c r="I103" s="4"/>
      <c r="J103" s="19" t="s">
        <v>144</v>
      </c>
      <c r="K103" s="24"/>
    </row>
    <row r="104" spans="1:11" ht="29" x14ac:dyDescent="0.35">
      <c r="A104" s="7" t="s">
        <v>17</v>
      </c>
      <c r="B104" s="7" t="s">
        <v>17</v>
      </c>
      <c r="C104" s="15" t="s">
        <v>150</v>
      </c>
      <c r="D104" s="7">
        <v>5</v>
      </c>
      <c r="E104" s="7" t="s">
        <v>25</v>
      </c>
      <c r="F104" s="3"/>
      <c r="G104" s="3"/>
      <c r="H104" s="3">
        <v>6</v>
      </c>
      <c r="I104" s="4"/>
      <c r="J104" s="19" t="s">
        <v>147</v>
      </c>
      <c r="K104" s="24"/>
    </row>
    <row r="105" spans="1:11" x14ac:dyDescent="0.35">
      <c r="A105" s="7" t="s">
        <v>17</v>
      </c>
      <c r="B105" s="7" t="s">
        <v>17</v>
      </c>
      <c r="C105" s="13"/>
      <c r="D105" s="7" t="s">
        <v>17</v>
      </c>
      <c r="E105" s="14" t="s">
        <v>26</v>
      </c>
      <c r="F105" s="3"/>
      <c r="G105" s="3"/>
      <c r="H105" s="3"/>
      <c r="I105" s="21">
        <f>SUM(F100:I104)</f>
        <v>28</v>
      </c>
      <c r="J105" s="7"/>
      <c r="K105" s="24"/>
    </row>
    <row r="106" spans="1:11" x14ac:dyDescent="0.35">
      <c r="A106" s="8" t="s">
        <v>0</v>
      </c>
      <c r="B106" s="8" t="s">
        <v>1</v>
      </c>
      <c r="C106" s="8" t="s">
        <v>2</v>
      </c>
      <c r="D106" s="8" t="s">
        <v>3</v>
      </c>
      <c r="E106" s="8" t="s">
        <v>4</v>
      </c>
      <c r="F106" s="5" t="s">
        <v>5</v>
      </c>
      <c r="G106" s="5" t="s">
        <v>6</v>
      </c>
      <c r="H106" s="5" t="s">
        <v>7</v>
      </c>
      <c r="I106" s="6" t="s">
        <v>8</v>
      </c>
      <c r="J106" s="10" t="s">
        <v>9</v>
      </c>
      <c r="K106" s="11" t="s">
        <v>10</v>
      </c>
    </row>
    <row r="107" spans="1:11" ht="29" x14ac:dyDescent="0.35">
      <c r="A107" s="9" t="s">
        <v>151</v>
      </c>
      <c r="B107" s="12" t="s">
        <v>142</v>
      </c>
      <c r="C107" s="15" t="s">
        <v>152</v>
      </c>
      <c r="D107" s="7">
        <v>1</v>
      </c>
      <c r="E107" s="7" t="s">
        <v>14</v>
      </c>
      <c r="F107" s="3"/>
      <c r="G107" s="3"/>
      <c r="H107" s="3">
        <v>6</v>
      </c>
      <c r="I107" s="4"/>
      <c r="J107" s="18" t="s">
        <v>153</v>
      </c>
      <c r="K107" s="24" t="s">
        <v>154</v>
      </c>
    </row>
    <row r="108" spans="1:11" ht="29" x14ac:dyDescent="0.35">
      <c r="A108" s="7" t="s">
        <v>17</v>
      </c>
      <c r="B108" s="7" t="s">
        <v>17</v>
      </c>
      <c r="C108" s="15" t="s">
        <v>155</v>
      </c>
      <c r="D108" s="7">
        <v>2</v>
      </c>
      <c r="E108" s="7" t="s">
        <v>19</v>
      </c>
      <c r="F108" s="3"/>
      <c r="G108" s="3"/>
      <c r="H108" s="3">
        <v>6</v>
      </c>
      <c r="I108" s="4"/>
      <c r="J108" s="19" t="s">
        <v>153</v>
      </c>
      <c r="K108" s="24"/>
    </row>
    <row r="109" spans="1:11" ht="29" x14ac:dyDescent="0.35">
      <c r="A109" s="7" t="s">
        <v>17</v>
      </c>
      <c r="B109" s="7" t="s">
        <v>17</v>
      </c>
      <c r="C109" s="15" t="s">
        <v>156</v>
      </c>
      <c r="D109" s="7">
        <v>3</v>
      </c>
      <c r="E109" s="7" t="s">
        <v>21</v>
      </c>
      <c r="F109" s="3"/>
      <c r="G109" s="3"/>
      <c r="H109" s="3"/>
      <c r="I109" s="4">
        <v>8</v>
      </c>
      <c r="J109" s="19" t="s">
        <v>153</v>
      </c>
      <c r="K109" s="24"/>
    </row>
    <row r="110" spans="1:11" ht="29" x14ac:dyDescent="0.35">
      <c r="A110" s="7" t="s">
        <v>17</v>
      </c>
      <c r="B110" s="7" t="s">
        <v>17</v>
      </c>
      <c r="C110" s="15" t="s">
        <v>157</v>
      </c>
      <c r="D110" s="7">
        <v>4</v>
      </c>
      <c r="E110" s="7" t="s">
        <v>23</v>
      </c>
      <c r="F110" s="3"/>
      <c r="G110" s="3"/>
      <c r="H110" s="3">
        <v>4</v>
      </c>
      <c r="I110" s="4"/>
      <c r="J110" s="19" t="s">
        <v>153</v>
      </c>
      <c r="K110" s="24"/>
    </row>
    <row r="111" spans="1:11" ht="29" x14ac:dyDescent="0.35">
      <c r="A111" s="7" t="s">
        <v>17</v>
      </c>
      <c r="B111" s="7" t="s">
        <v>17</v>
      </c>
      <c r="C111" s="15" t="s">
        <v>158</v>
      </c>
      <c r="D111" s="7">
        <v>5</v>
      </c>
      <c r="E111" s="7" t="s">
        <v>25</v>
      </c>
      <c r="F111" s="3"/>
      <c r="G111" s="3"/>
      <c r="H111" s="3">
        <v>4</v>
      </c>
      <c r="I111" s="4"/>
      <c r="J111" s="19" t="s">
        <v>153</v>
      </c>
      <c r="K111" s="24"/>
    </row>
    <row r="112" spans="1:11" x14ac:dyDescent="0.35">
      <c r="A112" s="7" t="s">
        <v>17</v>
      </c>
      <c r="B112" s="7" t="s">
        <v>17</v>
      </c>
      <c r="C112" s="13"/>
      <c r="D112" s="7" t="s">
        <v>17</v>
      </c>
      <c r="E112" s="14" t="s">
        <v>26</v>
      </c>
      <c r="F112" s="3"/>
      <c r="G112" s="3"/>
      <c r="H112" s="3"/>
      <c r="I112" s="21">
        <f>SUM(F107:I111)</f>
        <v>28</v>
      </c>
      <c r="J112" s="7"/>
      <c r="K112" s="24"/>
    </row>
    <row r="113" spans="1:11" x14ac:dyDescent="0.35">
      <c r="A113" s="8" t="s">
        <v>0</v>
      </c>
      <c r="B113" s="8" t="s">
        <v>1</v>
      </c>
      <c r="C113" s="8" t="s">
        <v>2</v>
      </c>
      <c r="D113" s="8" t="s">
        <v>3</v>
      </c>
      <c r="E113" s="8" t="s">
        <v>4</v>
      </c>
      <c r="F113" s="5" t="s">
        <v>5</v>
      </c>
      <c r="G113" s="5" t="s">
        <v>6</v>
      </c>
      <c r="H113" s="5" t="s">
        <v>7</v>
      </c>
      <c r="I113" s="6" t="s">
        <v>8</v>
      </c>
      <c r="J113" s="10" t="s">
        <v>9</v>
      </c>
      <c r="K113" s="11" t="s">
        <v>10</v>
      </c>
    </row>
    <row r="114" spans="1:11" x14ac:dyDescent="0.35">
      <c r="A114" s="9" t="s">
        <v>159</v>
      </c>
      <c r="B114" s="12" t="s">
        <v>160</v>
      </c>
      <c r="C114" s="15" t="s">
        <v>161</v>
      </c>
      <c r="D114" s="7">
        <v>1</v>
      </c>
      <c r="E114" s="7" t="s">
        <v>14</v>
      </c>
      <c r="F114" s="3"/>
      <c r="G114" s="3"/>
      <c r="H114" s="3">
        <v>6</v>
      </c>
      <c r="I114" s="4"/>
      <c r="J114" s="17" t="s">
        <v>162</v>
      </c>
      <c r="K114" s="25" t="s">
        <v>163</v>
      </c>
    </row>
    <row r="115" spans="1:11" x14ac:dyDescent="0.35">
      <c r="A115" s="7" t="s">
        <v>17</v>
      </c>
      <c r="B115" s="7" t="s">
        <v>17</v>
      </c>
      <c r="C115" s="15" t="s">
        <v>164</v>
      </c>
      <c r="D115" s="7">
        <v>2</v>
      </c>
      <c r="E115" s="7" t="s">
        <v>19</v>
      </c>
      <c r="F115" s="3"/>
      <c r="G115" s="3"/>
      <c r="H115" s="3">
        <v>6</v>
      </c>
      <c r="I115" s="4"/>
      <c r="J115" s="17" t="s">
        <v>165</v>
      </c>
      <c r="K115" s="26"/>
    </row>
    <row r="116" spans="1:11" x14ac:dyDescent="0.35">
      <c r="A116" s="7" t="s">
        <v>17</v>
      </c>
      <c r="B116" s="7" t="s">
        <v>17</v>
      </c>
      <c r="C116" s="15" t="s">
        <v>166</v>
      </c>
      <c r="D116" s="7">
        <v>3</v>
      </c>
      <c r="E116" s="7" t="s">
        <v>21</v>
      </c>
      <c r="F116" s="3"/>
      <c r="G116" s="3"/>
      <c r="H116" s="3">
        <v>6</v>
      </c>
      <c r="I116" s="4"/>
      <c r="J116" s="17" t="s">
        <v>165</v>
      </c>
      <c r="K116" s="26"/>
    </row>
    <row r="117" spans="1:11" x14ac:dyDescent="0.35">
      <c r="A117" s="7" t="s">
        <v>17</v>
      </c>
      <c r="B117" s="7" t="s">
        <v>17</v>
      </c>
      <c r="C117" s="13"/>
      <c r="D117" s="7">
        <v>4</v>
      </c>
      <c r="E117" s="7" t="s">
        <v>23</v>
      </c>
      <c r="F117" s="3"/>
      <c r="G117" s="3"/>
      <c r="H117" s="3">
        <v>6</v>
      </c>
      <c r="I117" s="4"/>
      <c r="J117" s="7"/>
      <c r="K117" s="26"/>
    </row>
    <row r="118" spans="1:11" x14ac:dyDescent="0.35">
      <c r="A118" s="7" t="s">
        <v>17</v>
      </c>
      <c r="B118" s="7" t="s">
        <v>17</v>
      </c>
      <c r="C118" s="13"/>
      <c r="D118" s="7">
        <v>5</v>
      </c>
      <c r="E118" s="7" t="s">
        <v>25</v>
      </c>
      <c r="F118" s="3"/>
      <c r="G118" s="3"/>
      <c r="H118" s="3">
        <v>6</v>
      </c>
      <c r="I118" s="4"/>
      <c r="J118" s="7"/>
      <c r="K118" s="26"/>
    </row>
    <row r="119" spans="1:11" x14ac:dyDescent="0.35">
      <c r="A119" s="7" t="s">
        <v>17</v>
      </c>
      <c r="B119" s="7" t="s">
        <v>17</v>
      </c>
      <c r="C119" s="13"/>
      <c r="D119" s="7" t="s">
        <v>17</v>
      </c>
      <c r="E119" s="14" t="s">
        <v>26</v>
      </c>
      <c r="F119" s="3"/>
      <c r="G119" s="3"/>
      <c r="H119" s="3"/>
      <c r="I119" s="21">
        <f>SUM(F114:I118)</f>
        <v>30</v>
      </c>
      <c r="J119" s="7"/>
      <c r="K119" s="27"/>
    </row>
  </sheetData>
  <mergeCells count="17">
    <mergeCell ref="K93:K98"/>
    <mergeCell ref="K100:K105"/>
    <mergeCell ref="K107:K112"/>
    <mergeCell ref="K114:K119"/>
    <mergeCell ref="K58:K63"/>
    <mergeCell ref="K65:K70"/>
    <mergeCell ref="K72:K77"/>
    <mergeCell ref="K79:K84"/>
    <mergeCell ref="K86:K91"/>
    <mergeCell ref="K44:K49"/>
    <mergeCell ref="K51:K56"/>
    <mergeCell ref="K2:K7"/>
    <mergeCell ref="K9:K14"/>
    <mergeCell ref="K16:K21"/>
    <mergeCell ref="K23:K28"/>
    <mergeCell ref="K30:K35"/>
    <mergeCell ref="K37:K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7428-CF4F-4C0D-B29B-55D8B4C7A21C}">
  <dimension ref="A1:G18"/>
  <sheetViews>
    <sheetView workbookViewId="0">
      <selection activeCell="C39" sqref="C39"/>
    </sheetView>
  </sheetViews>
  <sheetFormatPr defaultRowHeight="14.5" x14ac:dyDescent="0.35"/>
  <cols>
    <col min="1" max="1" width="5.453125" bestFit="1" customWidth="1"/>
    <col min="2" max="2" width="21.7265625" customWidth="1"/>
    <col min="3" max="3" width="21.81640625" customWidth="1"/>
    <col min="4" max="4" width="16.90625" bestFit="1" customWidth="1"/>
    <col min="5" max="5" width="14.81640625" bestFit="1" customWidth="1"/>
    <col min="6" max="6" width="10.54296875" bestFit="1" customWidth="1"/>
    <col min="7" max="7" width="7.90625" bestFit="1" customWidth="1"/>
  </cols>
  <sheetData>
    <row r="1" spans="1:7" ht="16" x14ac:dyDescent="0.4">
      <c r="A1" s="44" t="s">
        <v>177</v>
      </c>
      <c r="B1" s="44" t="s">
        <v>169</v>
      </c>
      <c r="C1" s="44" t="s">
        <v>178</v>
      </c>
      <c r="D1" s="44" t="s">
        <v>179</v>
      </c>
      <c r="E1" s="44" t="s">
        <v>180</v>
      </c>
      <c r="F1" s="44" t="s">
        <v>195</v>
      </c>
      <c r="G1" s="44" t="s">
        <v>196</v>
      </c>
    </row>
    <row r="2" spans="1:7" x14ac:dyDescent="0.35">
      <c r="A2" s="39" t="s">
        <v>181</v>
      </c>
      <c r="B2" s="39" t="s">
        <v>11</v>
      </c>
      <c r="C2" s="45" t="s">
        <v>182</v>
      </c>
      <c r="D2" s="45">
        <v>42</v>
      </c>
      <c r="E2" s="45">
        <v>42</v>
      </c>
      <c r="F2" s="45">
        <v>18</v>
      </c>
      <c r="G2" s="39" t="s">
        <v>197</v>
      </c>
    </row>
    <row r="3" spans="1:7" x14ac:dyDescent="0.35">
      <c r="A3" s="39">
        <v>12</v>
      </c>
      <c r="B3" s="39" t="s">
        <v>87</v>
      </c>
      <c r="C3" s="45" t="s">
        <v>191</v>
      </c>
      <c r="D3" s="45">
        <v>34</v>
      </c>
      <c r="E3" s="45">
        <v>42</v>
      </c>
      <c r="F3" s="45">
        <v>15</v>
      </c>
      <c r="G3" s="39" t="s">
        <v>197</v>
      </c>
    </row>
    <row r="4" spans="1:7" x14ac:dyDescent="0.35">
      <c r="A4" s="39" t="s">
        <v>183</v>
      </c>
      <c r="B4" s="39" t="s">
        <v>99</v>
      </c>
      <c r="C4" s="45" t="s">
        <v>184</v>
      </c>
      <c r="D4" s="45">
        <v>41</v>
      </c>
      <c r="E4" s="45">
        <v>42</v>
      </c>
      <c r="F4" s="45">
        <v>27</v>
      </c>
      <c r="G4" s="39" t="s">
        <v>197</v>
      </c>
    </row>
    <row r="5" spans="1:7" x14ac:dyDescent="0.35">
      <c r="A5" s="39">
        <v>6</v>
      </c>
      <c r="B5" s="39" t="s">
        <v>112</v>
      </c>
      <c r="C5" s="45" t="s">
        <v>187</v>
      </c>
      <c r="D5" s="45">
        <v>39</v>
      </c>
      <c r="E5" s="45">
        <v>42</v>
      </c>
      <c r="F5" s="45">
        <v>42</v>
      </c>
      <c r="G5" s="39" t="s">
        <v>197</v>
      </c>
    </row>
    <row r="6" spans="1:7" x14ac:dyDescent="0.35">
      <c r="A6" s="39">
        <v>5</v>
      </c>
      <c r="B6" s="39" t="s">
        <v>123</v>
      </c>
      <c r="C6" s="45" t="s">
        <v>186</v>
      </c>
      <c r="D6" s="45">
        <v>37</v>
      </c>
      <c r="E6" s="45">
        <v>42</v>
      </c>
      <c r="F6" s="45">
        <v>24</v>
      </c>
      <c r="G6" s="39" t="s">
        <v>197</v>
      </c>
    </row>
    <row r="7" spans="1:7" x14ac:dyDescent="0.35">
      <c r="A7" s="39">
        <v>8</v>
      </c>
      <c r="B7" s="39" t="s">
        <v>132</v>
      </c>
      <c r="C7" s="45" t="s">
        <v>189</v>
      </c>
      <c r="D7" s="45">
        <v>35</v>
      </c>
      <c r="E7" s="45">
        <v>42</v>
      </c>
      <c r="F7" s="45">
        <v>50</v>
      </c>
      <c r="G7" s="39" t="s">
        <v>197</v>
      </c>
    </row>
    <row r="8" spans="1:7" x14ac:dyDescent="0.35">
      <c r="A8" s="39">
        <v>13</v>
      </c>
      <c r="B8" s="39" t="s">
        <v>141</v>
      </c>
      <c r="C8" s="45" t="s">
        <v>192</v>
      </c>
      <c r="D8" s="45">
        <v>33</v>
      </c>
      <c r="E8" s="45">
        <v>42</v>
      </c>
      <c r="F8" s="45">
        <v>21</v>
      </c>
      <c r="G8" s="39" t="s">
        <v>197</v>
      </c>
    </row>
    <row r="9" spans="1:7" x14ac:dyDescent="0.35">
      <c r="A9" s="39">
        <v>14</v>
      </c>
      <c r="B9" s="39" t="s">
        <v>151</v>
      </c>
      <c r="C9" s="45" t="s">
        <v>192</v>
      </c>
      <c r="D9" s="45">
        <v>33</v>
      </c>
      <c r="E9" s="45">
        <v>42</v>
      </c>
      <c r="F9" s="45">
        <v>15</v>
      </c>
      <c r="G9" s="39" t="s">
        <v>197</v>
      </c>
    </row>
    <row r="10" spans="1:7" x14ac:dyDescent="0.35">
      <c r="A10" s="39">
        <v>17</v>
      </c>
      <c r="B10" s="39" t="s">
        <v>159</v>
      </c>
      <c r="C10" s="46">
        <v>0.7</v>
      </c>
      <c r="D10" s="45">
        <v>27</v>
      </c>
      <c r="E10" s="45">
        <v>42</v>
      </c>
      <c r="F10" s="45">
        <v>14</v>
      </c>
      <c r="G10" s="39" t="s">
        <v>197</v>
      </c>
    </row>
    <row r="11" spans="1:7" x14ac:dyDescent="0.35">
      <c r="A11" s="39" t="s">
        <v>185</v>
      </c>
      <c r="B11" s="39" t="s">
        <v>27</v>
      </c>
      <c r="C11" s="45" t="s">
        <v>186</v>
      </c>
      <c r="D11" s="45">
        <v>38</v>
      </c>
      <c r="E11" s="45">
        <v>42</v>
      </c>
      <c r="F11" s="45">
        <v>14</v>
      </c>
      <c r="G11" s="39" t="s">
        <v>197</v>
      </c>
    </row>
    <row r="12" spans="1:7" x14ac:dyDescent="0.35">
      <c r="A12" s="39">
        <v>15</v>
      </c>
      <c r="B12" s="39" t="s">
        <v>34</v>
      </c>
      <c r="C12" s="45" t="s">
        <v>193</v>
      </c>
      <c r="D12" s="45">
        <v>32</v>
      </c>
      <c r="E12" s="45">
        <v>42</v>
      </c>
      <c r="F12" s="45">
        <v>18</v>
      </c>
      <c r="G12" s="39" t="s">
        <v>197</v>
      </c>
    </row>
    <row r="13" spans="1:7" x14ac:dyDescent="0.35">
      <c r="A13" s="39">
        <v>11</v>
      </c>
      <c r="B13" s="39" t="s">
        <v>41</v>
      </c>
      <c r="C13" s="45" t="s">
        <v>190</v>
      </c>
      <c r="D13" s="45">
        <v>36</v>
      </c>
      <c r="E13" s="45">
        <v>42</v>
      </c>
      <c r="F13" s="45">
        <v>14</v>
      </c>
      <c r="G13" s="39" t="s">
        <v>197</v>
      </c>
    </row>
    <row r="14" spans="1:7" x14ac:dyDescent="0.35">
      <c r="A14" s="39">
        <v>4</v>
      </c>
      <c r="B14" s="39" t="s">
        <v>48</v>
      </c>
      <c r="C14" s="45" t="s">
        <v>186</v>
      </c>
      <c r="D14" s="45">
        <v>40</v>
      </c>
      <c r="E14" s="45">
        <v>42</v>
      </c>
      <c r="F14" s="45">
        <v>15</v>
      </c>
      <c r="G14" s="39" t="s">
        <v>197</v>
      </c>
    </row>
    <row r="15" spans="1:7" x14ac:dyDescent="0.35">
      <c r="A15" s="39">
        <v>9</v>
      </c>
      <c r="B15" s="39" t="s">
        <v>56</v>
      </c>
      <c r="C15" s="45" t="s">
        <v>189</v>
      </c>
      <c r="D15" s="45">
        <v>36</v>
      </c>
      <c r="E15" s="45">
        <v>42</v>
      </c>
      <c r="F15" s="45">
        <v>18</v>
      </c>
      <c r="G15" s="39" t="s">
        <v>197</v>
      </c>
    </row>
    <row r="16" spans="1:7" x14ac:dyDescent="0.35">
      <c r="A16" s="39">
        <v>16</v>
      </c>
      <c r="B16" s="39" t="s">
        <v>63</v>
      </c>
      <c r="C16" s="45" t="s">
        <v>194</v>
      </c>
      <c r="D16" s="45">
        <v>29</v>
      </c>
      <c r="E16" s="45">
        <v>42</v>
      </c>
      <c r="F16" s="45">
        <v>14</v>
      </c>
      <c r="G16" s="39" t="s">
        <v>197</v>
      </c>
    </row>
    <row r="17" spans="1:7" x14ac:dyDescent="0.35">
      <c r="A17" s="39">
        <v>10</v>
      </c>
      <c r="B17" s="39" t="s">
        <v>69</v>
      </c>
      <c r="C17" s="45" t="s">
        <v>190</v>
      </c>
      <c r="D17" s="45">
        <v>35</v>
      </c>
      <c r="E17" s="45">
        <v>42</v>
      </c>
      <c r="F17" s="45">
        <v>14</v>
      </c>
      <c r="G17" s="39" t="s">
        <v>197</v>
      </c>
    </row>
    <row r="18" spans="1:7" x14ac:dyDescent="0.35">
      <c r="A18" s="39">
        <v>7</v>
      </c>
      <c r="B18" s="39" t="s">
        <v>75</v>
      </c>
      <c r="C18" s="45" t="s">
        <v>188</v>
      </c>
      <c r="D18" s="45">
        <v>35</v>
      </c>
      <c r="E18" s="45">
        <v>42</v>
      </c>
      <c r="F18" s="45">
        <v>44</v>
      </c>
      <c r="G18" s="39" t="s">
        <v>197</v>
      </c>
    </row>
  </sheetData>
  <autoFilter ref="A1:E18" xr:uid="{F6A17428-CF4F-4C0D-B29B-55D8B4C7A21C}">
    <sortState xmlns:xlrd2="http://schemas.microsoft.com/office/spreadsheetml/2017/richdata2" ref="A2:E18">
      <sortCondition ref="B1:B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 Hackathon Overall Performance</vt:lpstr>
      <vt:lpstr>Visteon Experts Evaluation</vt:lpstr>
      <vt:lpstr>Testcases evaluation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Ayyathurai, Muruganantham (M.)</dc:creator>
  <cp:keywords/>
  <dc:description/>
  <cp:lastModifiedBy>Ayyathurai, Muruganantham (M.)</cp:lastModifiedBy>
  <cp:revision/>
  <dcterms:created xsi:type="dcterms:W3CDTF">2026-04-22T09:38:49Z</dcterms:created>
  <dcterms:modified xsi:type="dcterms:W3CDTF">2026-05-14T10:06:21Z</dcterms:modified>
  <cp:category/>
  <cp:contentStatus/>
</cp:coreProperties>
</file>